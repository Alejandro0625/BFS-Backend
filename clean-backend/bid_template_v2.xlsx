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16440" windowHeight="28320" tabRatio="600" firstSheet="0" activeTab="0" autoFilterDateGrouping="1"/>
  </bookViews>
  <sheets>
    <sheet name="Sheet1" sheetId="1" state="visible" r:id="rId1"/>
    <sheet name="Estimate" sheetId="2" state="visible" r:id="rId2"/>
    <sheet name="Siding Estimate Checklist" sheetId="3" state="visible" r:id="rId3"/>
  </sheets>
  <externalReferences>
    <externalReference r:id="rId4"/>
  </externalReferences>
  <definedNames>
    <definedName name="_xlnm.Print_Area" localSheetId="0">'Sheet1'!$A$1:$J$47</definedName>
  </definedNames>
  <calcPr calcId="191029" fullCalcOnLoad="1"/>
</workbook>
</file>

<file path=xl/styles.xml><?xml version="1.0" encoding="utf-8"?>
<styleSheet xmlns="http://schemas.openxmlformats.org/spreadsheetml/2006/main">
  <numFmts count="4">
    <numFmt numFmtId="164" formatCode="0.000"/>
    <numFmt numFmtId="165" formatCode="_(&quot;$&quot;* #,##0.00_);_(&quot;$&quot;* \(#,##0.00\);_(&quot;$&quot;* &quot;-&quot;??_);_(@_)"/>
    <numFmt numFmtId="166" formatCode="&quot;$&quot;#,##0.00"/>
    <numFmt numFmtId="167" formatCode="_(* #,##0_);_(* \(#,##0\);_(* &quot;-&quot;??_);_(@_)"/>
  </numFmts>
  <fonts count="34">
    <font>
      <name val="Calibri"/>
      <family val="2"/>
      <color theme="1"/>
      <sz val="11"/>
      <scheme val="minor"/>
    </font>
    <font>
      <name val="Calibri"/>
      <family val="2"/>
      <color theme="1"/>
      <sz val="11"/>
      <scheme val="minor"/>
    </font>
    <font>
      <name val="Arial"/>
      <family val="2"/>
      <sz val="12"/>
    </font>
    <font>
      <name val="Arial"/>
      <family val="2"/>
      <color theme="1"/>
      <sz val="11"/>
    </font>
    <font>
      <name val="Calibri"/>
      <family val="2"/>
      <color theme="1"/>
      <sz val="10"/>
      <scheme val="minor"/>
    </font>
    <font>
      <name val="Calibri"/>
      <family val="2"/>
      <color theme="10"/>
      <sz val="11"/>
      <u val="single"/>
      <scheme val="minor"/>
    </font>
    <font>
      <name val="Arial"/>
      <family val="2"/>
      <color theme="1"/>
      <sz val="12"/>
    </font>
    <font>
      <name val="Calibri"/>
      <family val="2"/>
      <color theme="1"/>
      <sz val="11"/>
      <scheme val="minor"/>
    </font>
    <font>
      <name val="Arial"/>
      <family val="2"/>
      <sz val="24"/>
    </font>
    <font>
      <name val="Arial Black"/>
      <family val="2"/>
      <sz val="9"/>
    </font>
    <font>
      <name val="Arial Black"/>
      <family val="2"/>
      <color theme="1"/>
      <sz val="9"/>
    </font>
    <font>
      <name val="Arial"/>
      <family val="2"/>
      <sz val="12"/>
    </font>
    <font>
      <name val="Arial"/>
      <family val="2"/>
      <sz val="7"/>
    </font>
    <font>
      <name val="Calibri"/>
      <family val="2"/>
      <b val="1"/>
      <color theme="1"/>
      <sz val="9"/>
      <scheme val="minor"/>
    </font>
    <font>
      <name val="Arial"/>
      <family val="2"/>
      <i val="1"/>
      <sz val="12"/>
    </font>
    <font>
      <name val="Calibri"/>
      <family val="2"/>
      <color theme="1"/>
      <sz val="10"/>
      <scheme val="minor"/>
    </font>
    <font>
      <name val="Arial"/>
      <family val="2"/>
      <sz val="11"/>
    </font>
    <font>
      <name val="Arial"/>
      <family val="2"/>
      <sz val="10"/>
    </font>
    <font>
      <name val="Calibri"/>
      <family val="2"/>
      <b val="1"/>
      <color theme="1"/>
      <sz val="11"/>
      <scheme val="minor"/>
    </font>
    <font>
      <name val="Arial"/>
      <family val="2"/>
      <color theme="1"/>
      <sz val="10"/>
    </font>
    <font>
      <name val="Arial"/>
      <family val="2"/>
      <b val="1"/>
      <sz val="10"/>
    </font>
    <font>
      <name val="Calibri"/>
      <family val="2"/>
      <sz val="10"/>
      <scheme val="minor"/>
    </font>
    <font>
      <name val="Calibri"/>
      <family val="2"/>
      <color theme="1"/>
      <sz val="8"/>
      <scheme val="minor"/>
    </font>
    <font>
      <name val="Arial"/>
      <family val="2"/>
      <b val="1"/>
      <sz val="12"/>
    </font>
    <font>
      <name val="Arial"/>
      <family val="2"/>
      <b val="1"/>
      <sz val="11"/>
    </font>
    <font>
      <name val="Arial"/>
      <family val="2"/>
      <b val="1"/>
      <sz val="14"/>
    </font>
    <font>
      <name val="Arial"/>
      <family val="2"/>
      <sz val="7.5"/>
    </font>
    <font>
      <name val="Arial"/>
      <family val="2"/>
      <i val="1"/>
      <sz val="10"/>
    </font>
    <font>
      <name val="Times New Roman"/>
      <family val="1"/>
      <b val="1"/>
      <color theme="1"/>
      <sz val="18"/>
    </font>
    <font>
      <name val="Arial"/>
      <family val="2"/>
      <b val="1"/>
      <color theme="1"/>
      <sz val="10"/>
    </font>
    <font>
      <name val="Calibri"/>
      <family val="2"/>
      <sz val="8"/>
      <scheme val="minor"/>
    </font>
    <font>
      <name val="Calibri"/>
      <family val="2"/>
      <b val="1"/>
      <sz val="16"/>
    </font>
    <font>
      <name val="Calibri"/>
      <family val="2"/>
      <b val="1"/>
      <sz val="11"/>
    </font>
    <font>
      <name val="Segoe Script"/>
      <family val="4"/>
      <color theme="1"/>
      <sz val="22"/>
    </font>
  </fonts>
  <fills count="10">
    <fill>
      <patternFill/>
    </fill>
    <fill>
      <patternFill patternType="gray125"/>
    </fill>
    <fill>
      <patternFill patternType="solid">
        <fgColor rgb="FFFFFF00"/>
        <bgColor indexed="64"/>
      </patternFill>
    </fill>
    <fill>
      <patternFill patternType="solid">
        <fgColor theme="3" tint="0.7999816888943144"/>
        <bgColor indexed="64"/>
      </patternFill>
    </fill>
    <fill>
      <patternFill patternType="solid">
        <fgColor theme="0"/>
        <bgColor indexed="64"/>
      </patternFill>
    </fill>
    <fill>
      <patternFill patternType="solid">
        <fgColor theme="0" tint="-0.1499984740745262"/>
        <bgColor indexed="64"/>
      </patternFill>
    </fill>
    <fill>
      <patternFill patternType="solid">
        <fgColor rgb="FFFFC000"/>
        <bgColor indexed="64"/>
      </patternFill>
    </fill>
    <fill>
      <patternFill patternType="solid">
        <fgColor theme="4" tint="0.5999938962981048"/>
        <bgColor indexed="64"/>
      </patternFill>
    </fill>
    <fill>
      <patternFill patternType="solid">
        <fgColor theme="4" tint="0.7999816888943144"/>
        <bgColor indexed="64"/>
      </patternFill>
    </fill>
    <fill>
      <patternFill patternType="solid">
        <fgColor rgb="FFDCE6F1"/>
      </patternFill>
    </fill>
  </fills>
  <borders count="4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s>
  <cellStyleXfs count="4">
    <xf numFmtId="0" fontId="7" fillId="0" borderId="0"/>
    <xf numFmtId="44" fontId="7" fillId="0" borderId="0"/>
    <xf numFmtId="43" fontId="7" fillId="0" borderId="0"/>
    <xf numFmtId="0" fontId="5" fillId="0" borderId="0"/>
  </cellStyleXfs>
  <cellXfs count="248">
    <xf numFmtId="0" fontId="0" fillId="0" borderId="0" pivotButton="0" quotePrefix="0" xfId="0"/>
    <xf numFmtId="0" fontId="3" fillId="0" borderId="0" pivotButton="0" quotePrefix="0" xfId="0"/>
    <xf numFmtId="164" fontId="0" fillId="0" borderId="0" pivotButton="0" quotePrefix="0" xfId="0"/>
    <xf numFmtId="43" fontId="0" fillId="0" borderId="0" pivotButton="0" quotePrefix="0" xfId="0"/>
    <xf numFmtId="165" fontId="0" fillId="0" borderId="0" pivotButton="0" quotePrefix="0" xfId="1"/>
    <xf numFmtId="0" fontId="0" fillId="0" borderId="0" applyAlignment="1" pivotButton="0" quotePrefix="0" xfId="0">
      <alignment horizontal="center"/>
    </xf>
    <xf numFmtId="0" fontId="7" fillId="0" borderId="3" pivotButton="0" quotePrefix="0" xfId="0"/>
    <xf numFmtId="0" fontId="7" fillId="0" borderId="0" pivotButton="0" quotePrefix="0" xfId="0"/>
    <xf numFmtId="0" fontId="11" fillId="0" borderId="0" pivotButton="0" quotePrefix="0" xfId="0"/>
    <xf numFmtId="0" fontId="12" fillId="0" borderId="0" pivotButton="0" quotePrefix="0" xfId="0"/>
    <xf numFmtId="0" fontId="7" fillId="0" borderId="8" pivotButton="0" quotePrefix="0" xfId="0"/>
    <xf numFmtId="49" fontId="11" fillId="0" borderId="0" pivotButton="0" quotePrefix="0" xfId="0"/>
    <xf numFmtId="49" fontId="11" fillId="0" borderId="6" pivotButton="0" quotePrefix="0" xfId="0"/>
    <xf numFmtId="49" fontId="16" fillId="0" borderId="0" pivotButton="0" quotePrefix="1" xfId="0"/>
    <xf numFmtId="49" fontId="11" fillId="0" borderId="10" pivotButton="0" quotePrefix="0" xfId="0"/>
    <xf numFmtId="49" fontId="11" fillId="0" borderId="7" pivotButton="0" quotePrefix="0" xfId="0"/>
    <xf numFmtId="0" fontId="17" fillId="0" borderId="3" pivotButton="0" quotePrefix="0" xfId="0"/>
    <xf numFmtId="0" fontId="18" fillId="0" borderId="0" applyAlignment="1" pivotButton="0" quotePrefix="0" xfId="0">
      <alignment horizontal="left" vertical="top"/>
    </xf>
    <xf numFmtId="0" fontId="18" fillId="0" borderId="0" applyAlignment="1" pivotButton="0" quotePrefix="0" xfId="0">
      <alignment horizontal="left" vertical="top" wrapText="1"/>
    </xf>
    <xf numFmtId="0" fontId="17" fillId="0" borderId="0" pivotButton="0" quotePrefix="0" xfId="0"/>
    <xf numFmtId="0" fontId="17" fillId="0" borderId="0" applyAlignment="1" pivotButton="0" quotePrefix="0" xfId="0">
      <alignment vertical="top"/>
    </xf>
    <xf numFmtId="0" fontId="7" fillId="0" borderId="5" pivotButton="0" quotePrefix="0" xfId="0"/>
    <xf numFmtId="0" fontId="20" fillId="0" borderId="0" applyAlignment="1" pivotButton="0" quotePrefix="0" xfId="0">
      <alignment vertical="top"/>
    </xf>
    <xf numFmtId="0" fontId="20" fillId="2" borderId="0" pivotButton="0" quotePrefix="0" xfId="0"/>
    <xf numFmtId="38" fontId="17" fillId="0" borderId="0" applyAlignment="1" pivotButton="0" quotePrefix="0" xfId="0">
      <alignment vertical="top"/>
    </xf>
    <xf numFmtId="0" fontId="20" fillId="0" borderId="0" pivotButton="0" quotePrefix="0" xfId="0"/>
    <xf numFmtId="38" fontId="17" fillId="0" borderId="0" pivotButton="0" quotePrefix="0" xfId="0"/>
    <xf numFmtId="165" fontId="18" fillId="0" borderId="0" pivotButton="0" quotePrefix="0" xfId="1"/>
    <xf numFmtId="38" fontId="7" fillId="0" borderId="0" pivotButton="0" quotePrefix="0" xfId="0"/>
    <xf numFmtId="0" fontId="24" fillId="0" borderId="0" pivotButton="0" quotePrefix="0" xfId="0"/>
    <xf numFmtId="0" fontId="17" fillId="0" borderId="10" pivotButton="0" quotePrefix="0" xfId="0"/>
    <xf numFmtId="0" fontId="23" fillId="0" borderId="10" pivotButton="0" quotePrefix="0" xfId="0"/>
    <xf numFmtId="166" fontId="11" fillId="0" borderId="10" applyAlignment="1" pivotButton="0" quotePrefix="0" xfId="0">
      <alignment horizontal="right"/>
    </xf>
    <xf numFmtId="0" fontId="23" fillId="0" borderId="10" applyAlignment="1" pivotButton="0" quotePrefix="0" xfId="0">
      <alignment horizontal="right"/>
    </xf>
    <xf numFmtId="0" fontId="7" fillId="0" borderId="2" pivotButton="0" quotePrefix="0" xfId="0"/>
    <xf numFmtId="0" fontId="0" fillId="0" borderId="15" applyAlignment="1" pivotButton="0" quotePrefix="0" xfId="0">
      <alignment horizontal="center"/>
    </xf>
    <xf numFmtId="165" fontId="0" fillId="0" borderId="15" applyAlignment="1" pivotButton="0" quotePrefix="0" xfId="1">
      <alignment horizontal="center"/>
    </xf>
    <xf numFmtId="0" fontId="0" fillId="0" borderId="16" applyAlignment="1" pivotButton="0" quotePrefix="0" xfId="0">
      <alignment horizontal="center"/>
    </xf>
    <xf numFmtId="0" fontId="0" fillId="4" borderId="14" pivotButton="0" quotePrefix="0" xfId="0"/>
    <xf numFmtId="0" fontId="7" fillId="3" borderId="1" pivotButton="0" quotePrefix="0" xfId="0"/>
    <xf numFmtId="0" fontId="27" fillId="3" borderId="2" pivotButton="0" quotePrefix="0" xfId="0"/>
    <xf numFmtId="0" fontId="7" fillId="3" borderId="2" pivotButton="0" quotePrefix="0" xfId="0"/>
    <xf numFmtId="0" fontId="9" fillId="3" borderId="0" pivotButton="0" quotePrefix="0" xfId="0"/>
    <xf numFmtId="0" fontId="10" fillId="3" borderId="0" pivotButton="0" quotePrefix="0" xfId="0"/>
    <xf numFmtId="0" fontId="10" fillId="3" borderId="6" pivotButton="0" quotePrefix="0" xfId="0"/>
    <xf numFmtId="0" fontId="10" fillId="3" borderId="7" pivotButton="0" quotePrefix="0" xfId="0"/>
    <xf numFmtId="0" fontId="19" fillId="0" borderId="0" pivotButton="0" quotePrefix="0" xfId="0"/>
    <xf numFmtId="0" fontId="0" fillId="0" borderId="24" applyAlignment="1" pivotButton="0" quotePrefix="0" xfId="0">
      <alignment horizontal="center"/>
    </xf>
    <xf numFmtId="20" fontId="28" fillId="0" borderId="0" applyAlignment="1" pivotButton="0" quotePrefix="0" xfId="0">
      <alignment vertical="center"/>
    </xf>
    <xf numFmtId="167" fontId="0" fillId="0" borderId="0" applyAlignment="1" pivotButton="0" quotePrefix="0" xfId="2">
      <alignment horizontal="center"/>
    </xf>
    <xf numFmtId="0" fontId="0" fillId="0" borderId="11" pivotButton="0" quotePrefix="0" xfId="0"/>
    <xf numFmtId="167" fontId="0" fillId="0" borderId="12" applyAlignment="1" pivotButton="0" quotePrefix="0" xfId="2">
      <alignment horizontal="center"/>
    </xf>
    <xf numFmtId="0" fontId="0" fillId="0" borderId="12" pivotButton="0" quotePrefix="0" xfId="0"/>
    <xf numFmtId="0" fontId="0" fillId="0" borderId="12" applyAlignment="1" pivotButton="0" quotePrefix="0" xfId="0">
      <alignment horizontal="center"/>
    </xf>
    <xf numFmtId="165" fontId="0" fillId="0" borderId="12" pivotButton="0" quotePrefix="0" xfId="1"/>
    <xf numFmtId="43" fontId="18" fillId="0" borderId="13" pivotButton="0" quotePrefix="0" xfId="0"/>
    <xf numFmtId="0" fontId="18" fillId="0" borderId="12" pivotButton="0" quotePrefix="0" xfId="0"/>
    <xf numFmtId="0" fontId="0" fillId="0" borderId="0" pivotButton="0" quotePrefix="1" xfId="0"/>
    <xf numFmtId="0" fontId="29" fillId="0" borderId="0" pivotButton="0" quotePrefix="0" xfId="0"/>
    <xf numFmtId="0" fontId="9" fillId="3" borderId="3" pivotButton="0" quotePrefix="0" xfId="0"/>
    <xf numFmtId="0" fontId="10" fillId="3" borderId="3" pivotButton="0" quotePrefix="0" xfId="0"/>
    <xf numFmtId="0" fontId="10" fillId="3" borderId="4" pivotButton="0" quotePrefix="0" xfId="0"/>
    <xf numFmtId="0" fontId="9" fillId="3" borderId="5" pivotButton="0" quotePrefix="0" xfId="0"/>
    <xf numFmtId="0" fontId="9" fillId="3" borderId="9" pivotButton="0" quotePrefix="0" xfId="0"/>
    <xf numFmtId="0" fontId="10" fillId="3" borderId="10" pivotButton="0" quotePrefix="0" xfId="0"/>
    <xf numFmtId="0" fontId="7" fillId="0" borderId="6" pivotButton="0" quotePrefix="0" xfId="0"/>
    <xf numFmtId="49" fontId="16" fillId="0" borderId="5" pivotButton="0" quotePrefix="0" xfId="0"/>
    <xf numFmtId="49" fontId="11" fillId="0" borderId="5" pivotButton="0" quotePrefix="0" xfId="0"/>
    <xf numFmtId="0" fontId="15" fillId="0" borderId="5" applyAlignment="1" pivotButton="0" quotePrefix="0" xfId="0">
      <alignment horizontal="right"/>
    </xf>
    <xf numFmtId="49" fontId="11" fillId="0" borderId="9" pivotButton="0" quotePrefix="0" xfId="0"/>
    <xf numFmtId="0" fontId="15" fillId="0" borderId="8" pivotButton="0" quotePrefix="0" xfId="0"/>
    <xf numFmtId="0" fontId="7" fillId="0" borderId="4" pivotButton="0" quotePrefix="0" xfId="0"/>
    <xf numFmtId="0" fontId="15" fillId="0" borderId="5" pivotButton="0" quotePrefix="0" xfId="0"/>
    <xf numFmtId="0" fontId="15" fillId="0" borderId="5" applyAlignment="1" pivotButton="0" quotePrefix="0" xfId="0">
      <alignment horizontal="center"/>
    </xf>
    <xf numFmtId="0" fontId="21" fillId="0" borderId="5" pivotButton="0" quotePrefix="0" xfId="0"/>
    <xf numFmtId="166" fontId="17" fillId="0" borderId="6" applyAlignment="1" pivotButton="0" quotePrefix="0" xfId="0">
      <alignment horizontal="right"/>
    </xf>
    <xf numFmtId="0" fontId="20" fillId="0" borderId="6" pivotButton="0" quotePrefix="0" xfId="0"/>
    <xf numFmtId="0" fontId="11" fillId="0" borderId="8" pivotButton="0" quotePrefix="0" xfId="0"/>
    <xf numFmtId="0" fontId="23" fillId="0" borderId="9" pivotButton="0" quotePrefix="0" xfId="0"/>
    <xf numFmtId="0" fontId="7" fillId="0" borderId="1" pivotButton="0" quotePrefix="0" xfId="0"/>
    <xf numFmtId="0" fontId="7" fillId="0" borderId="25" pivotButton="0" quotePrefix="0" xfId="0"/>
    <xf numFmtId="0" fontId="7" fillId="3" borderId="25" pivotButton="0" quotePrefix="0" xfId="0"/>
    <xf numFmtId="0" fontId="7" fillId="0" borderId="9" pivotButton="0" quotePrefix="0" xfId="0"/>
    <xf numFmtId="0" fontId="7" fillId="0" borderId="10" pivotButton="0" quotePrefix="0" xfId="0"/>
    <xf numFmtId="0" fontId="7" fillId="0" borderId="26" pivotButton="0" quotePrefix="0" xfId="0"/>
    <xf numFmtId="0" fontId="7" fillId="0" borderId="7" pivotButton="0" quotePrefix="0" xfId="0"/>
    <xf numFmtId="0" fontId="9" fillId="3" borderId="8" applyAlignment="1" pivotButton="0" quotePrefix="0" xfId="0">
      <alignment horizontal="left"/>
    </xf>
    <xf numFmtId="0" fontId="20" fillId="2" borderId="0" applyAlignment="1" pivotButton="0" quotePrefix="0" xfId="0">
      <alignment horizontal="center"/>
    </xf>
    <xf numFmtId="0" fontId="0" fillId="0" borderId="29" applyAlignment="1" pivotButton="0" quotePrefix="0" xfId="0">
      <alignment horizontal="left"/>
    </xf>
    <xf numFmtId="0" fontId="0" fillId="0" borderId="30" applyAlignment="1" pivotButton="0" quotePrefix="0" xfId="0">
      <alignment horizontal="left"/>
    </xf>
    <xf numFmtId="0" fontId="0" fillId="0" borderId="21" applyAlignment="1" pivotButton="0" quotePrefix="0" xfId="0">
      <alignment vertical="top"/>
    </xf>
    <xf numFmtId="0" fontId="0" fillId="0" borderId="22" applyAlignment="1" pivotButton="0" quotePrefix="0" xfId="0">
      <alignment vertical="top"/>
    </xf>
    <xf numFmtId="0" fontId="0" fillId="0" borderId="17" applyAlignment="1" pivotButton="0" quotePrefix="0" xfId="0">
      <alignment vertical="top"/>
    </xf>
    <xf numFmtId="0" fontId="0" fillId="0" borderId="0" applyAlignment="1" pivotButton="0" quotePrefix="0" xfId="0">
      <alignment vertical="top"/>
    </xf>
    <xf numFmtId="0" fontId="0" fillId="0" borderId="18" applyAlignment="1" pivotButton="0" quotePrefix="0" xfId="0">
      <alignment vertical="top"/>
    </xf>
    <xf numFmtId="0" fontId="0" fillId="0" borderId="19" applyAlignment="1" pivotButton="0" quotePrefix="0" xfId="0">
      <alignment vertical="top"/>
    </xf>
    <xf numFmtId="0" fontId="20" fillId="6" borderId="0" pivotButton="0" quotePrefix="0" xfId="0"/>
    <xf numFmtId="0" fontId="20" fillId="6" borderId="0" applyAlignment="1" pivotButton="0" quotePrefix="0" xfId="0">
      <alignment horizontal="center"/>
    </xf>
    <xf numFmtId="0" fontId="7" fillId="6" borderId="6" pivotButton="0" quotePrefix="0" xfId="0"/>
    <xf numFmtId="0" fontId="18" fillId="6" borderId="5" applyAlignment="1" pivotButton="0" quotePrefix="0" xfId="0">
      <alignment horizontal="left"/>
    </xf>
    <xf numFmtId="0" fontId="20" fillId="6" borderId="0" applyAlignment="1" pivotButton="0" quotePrefix="0" xfId="0">
      <alignment vertical="top"/>
    </xf>
    <xf numFmtId="38" fontId="20" fillId="6" borderId="0" applyAlignment="1" pivotButton="0" quotePrefix="0" xfId="0">
      <alignment vertical="top"/>
    </xf>
    <xf numFmtId="0" fontId="18" fillId="6" borderId="6" pivotButton="0" quotePrefix="0" xfId="0"/>
    <xf numFmtId="0" fontId="0" fillId="0" borderId="17" applyAlignment="1" pivotButton="0" quotePrefix="0" xfId="0">
      <alignment vertical="center"/>
    </xf>
    <xf numFmtId="0" fontId="0" fillId="0" borderId="0" applyAlignment="1" pivotButton="0" quotePrefix="0" xfId="0">
      <alignment vertical="center"/>
    </xf>
    <xf numFmtId="0" fontId="0" fillId="0" borderId="36" applyAlignment="1" pivotButton="0" quotePrefix="0" xfId="0">
      <alignment vertical="center"/>
    </xf>
    <xf numFmtId="0" fontId="32" fillId="8" borderId="17" applyAlignment="1" pivotButton="0" quotePrefix="0" xfId="0">
      <alignment vertical="center"/>
    </xf>
    <xf numFmtId="0" fontId="0" fillId="0" borderId="0" applyAlignment="1" pivotButton="0" quotePrefix="0" xfId="0">
      <alignment vertical="center"/>
    </xf>
    <xf numFmtId="0" fontId="0" fillId="0" borderId="37" applyAlignment="1" pivotButton="0" quotePrefix="0" xfId="0">
      <alignment vertical="center"/>
    </xf>
    <xf numFmtId="0" fontId="0" fillId="0" borderId="32" applyAlignment="1" pivotButton="0" quotePrefix="0" xfId="0">
      <alignment vertical="center"/>
    </xf>
    <xf numFmtId="0" fontId="0" fillId="0" borderId="0" applyAlignment="1" pivotButton="0" quotePrefix="0" xfId="0">
      <alignment vertical="top" wrapText="1"/>
    </xf>
    <xf numFmtId="0" fontId="8" fillId="0" borderId="1" applyAlignment="1" pivotButton="0" quotePrefix="0" xfId="0">
      <alignment horizontal="center" vertical="center"/>
    </xf>
    <xf numFmtId="0" fontId="8" fillId="0" borderId="2" applyAlignment="1" pivotButton="0" quotePrefix="0" xfId="0">
      <alignment horizontal="center" vertical="center"/>
    </xf>
    <xf numFmtId="0" fontId="8" fillId="0" borderId="25" applyAlignment="1" pivotButton="0" quotePrefix="0" xfId="0">
      <alignment horizontal="center" vertical="center"/>
    </xf>
    <xf numFmtId="166" fontId="25" fillId="0" borderId="10" applyAlignment="1" pivotButton="0" quotePrefix="0" xfId="0">
      <alignment horizontal="center"/>
    </xf>
    <xf numFmtId="166" fontId="25" fillId="0" borderId="7" applyAlignment="1" pivotButton="0" quotePrefix="0" xfId="0">
      <alignment horizontal="center"/>
    </xf>
    <xf numFmtId="0" fontId="26" fillId="0" borderId="8" applyAlignment="1" pivotButton="0" quotePrefix="0" xfId="0">
      <alignment horizontal="left" vertical="top" wrapText="1"/>
    </xf>
    <xf numFmtId="0" fontId="26" fillId="0" borderId="3" applyAlignment="1" pivotButton="0" quotePrefix="0" xfId="0">
      <alignment horizontal="left" vertical="top" wrapText="1"/>
    </xf>
    <xf numFmtId="0" fontId="26" fillId="0" borderId="4" applyAlignment="1" pivotButton="0" quotePrefix="0" xfId="0">
      <alignment horizontal="left" vertical="top" wrapText="1"/>
    </xf>
    <xf numFmtId="0" fontId="26" fillId="0" borderId="5" applyAlignment="1" pivotButton="0" quotePrefix="0" xfId="0">
      <alignment horizontal="left" vertical="top" wrapText="1"/>
    </xf>
    <xf numFmtId="0" fontId="26" fillId="0" borderId="0" applyAlignment="1" pivotButton="0" quotePrefix="0" xfId="0">
      <alignment horizontal="left" vertical="top" wrapText="1"/>
    </xf>
    <xf numFmtId="0" fontId="26" fillId="0" borderId="6" applyAlignment="1" pivotButton="0" quotePrefix="0" xfId="0">
      <alignment horizontal="left" vertical="top" wrapText="1"/>
    </xf>
    <xf numFmtId="0" fontId="11" fillId="0" borderId="8" applyAlignment="1" pivotButton="0" quotePrefix="0" xfId="0">
      <alignment horizontal="center" vertical="top" wrapText="1"/>
    </xf>
    <xf numFmtId="0" fontId="11" fillId="0" borderId="3" applyAlignment="1" pivotButton="0" quotePrefix="0" xfId="0">
      <alignment horizontal="center" vertical="top" wrapText="1"/>
    </xf>
    <xf numFmtId="0" fontId="11" fillId="0" borderId="4" applyAlignment="1" pivotButton="0" quotePrefix="0" xfId="0">
      <alignment horizontal="center" vertical="top" wrapText="1"/>
    </xf>
    <xf numFmtId="0" fontId="11" fillId="0" borderId="5" applyAlignment="1" pivotButton="0" quotePrefix="0" xfId="0">
      <alignment horizontal="center" vertical="top" wrapText="1"/>
    </xf>
    <xf numFmtId="0" fontId="11" fillId="0" borderId="0" applyAlignment="1" pivotButton="0" quotePrefix="0" xfId="0">
      <alignment horizontal="center" vertical="top" wrapText="1"/>
    </xf>
    <xf numFmtId="0" fontId="11" fillId="0" borderId="6" applyAlignment="1" pivotButton="0" quotePrefix="0" xfId="0">
      <alignment horizontal="center" vertical="top" wrapText="1"/>
    </xf>
    <xf numFmtId="14" fontId="2" fillId="0" borderId="0" applyAlignment="1" pivotButton="0" quotePrefix="0" xfId="0">
      <alignment horizontal="left"/>
    </xf>
    <xf numFmtId="14" fontId="11" fillId="0" borderId="0" applyAlignment="1" pivotButton="0" quotePrefix="0" xfId="0">
      <alignment horizontal="left"/>
    </xf>
    <xf numFmtId="0" fontId="14" fillId="3" borderId="1" applyAlignment="1" pivotButton="0" quotePrefix="0" xfId="0">
      <alignment horizontal="left"/>
    </xf>
    <xf numFmtId="0" fontId="14" fillId="3" borderId="2" applyAlignment="1" pivotButton="0" quotePrefix="0" xfId="0">
      <alignment horizontal="left"/>
    </xf>
    <xf numFmtId="0" fontId="14" fillId="3" borderId="25" applyAlignment="1" pivotButton="0" quotePrefix="0" xfId="0">
      <alignment horizontal="left"/>
    </xf>
    <xf numFmtId="0" fontId="5" fillId="0" borderId="9" applyAlignment="1" pivotButton="0" quotePrefix="0" xfId="3">
      <alignment horizontal="left"/>
    </xf>
    <xf numFmtId="0" fontId="2" fillId="0" borderId="10" applyAlignment="1" pivotButton="0" quotePrefix="0" xfId="0">
      <alignment horizontal="left"/>
    </xf>
    <xf numFmtId="0" fontId="2" fillId="0" borderId="7" applyAlignment="1" pivotButton="0" quotePrefix="0" xfId="0">
      <alignment horizontal="left"/>
    </xf>
    <xf numFmtId="0" fontId="6" fillId="0" borderId="1" applyAlignment="1" pivotButton="0" quotePrefix="0" xfId="0">
      <alignment horizontal="left"/>
    </xf>
    <xf numFmtId="0" fontId="6" fillId="0" borderId="2" applyAlignment="1" pivotButton="0" quotePrefix="0" xfId="0">
      <alignment horizontal="left"/>
    </xf>
    <xf numFmtId="0" fontId="6" fillId="0" borderId="25" applyAlignment="1" pivotButton="0" quotePrefix="0" xfId="0">
      <alignment horizontal="left"/>
    </xf>
    <xf numFmtId="0" fontId="2" fillId="0" borderId="1" applyAlignment="1" pivotButton="0" quotePrefix="0" xfId="0">
      <alignment horizontal="left"/>
    </xf>
    <xf numFmtId="17" fontId="2" fillId="0" borderId="1" applyAlignment="1" pivotButton="0" quotePrefix="0" xfId="0">
      <alignment horizontal="left"/>
    </xf>
    <xf numFmtId="17" fontId="2" fillId="0" borderId="2" applyAlignment="1" pivotButton="0" quotePrefix="0" xfId="0">
      <alignment horizontal="left"/>
    </xf>
    <xf numFmtId="17" fontId="2" fillId="0" borderId="25" applyAlignment="1" pivotButton="0" quotePrefix="0" xfId="0">
      <alignment horizontal="left"/>
    </xf>
    <xf numFmtId="0" fontId="0" fillId="0" borderId="30" applyAlignment="1" pivotButton="0" quotePrefix="0" xfId="0">
      <alignment horizontal="center"/>
    </xf>
    <xf numFmtId="0" fontId="0" fillId="0" borderId="31" applyAlignment="1" pivotButton="0" quotePrefix="0" xfId="0">
      <alignment horizontal="center"/>
    </xf>
    <xf numFmtId="0" fontId="0" fillId="0" borderId="33" applyAlignment="1" pivotButton="0" quotePrefix="0" xfId="0">
      <alignment horizontal="left"/>
    </xf>
    <xf numFmtId="0" fontId="0" fillId="0" borderId="34" applyAlignment="1" pivotButton="0" quotePrefix="0" xfId="0">
      <alignment horizontal="left"/>
    </xf>
    <xf numFmtId="0" fontId="0" fillId="0" borderId="34" applyAlignment="1" pivotButton="0" quotePrefix="0" xfId="0">
      <alignment horizontal="center"/>
    </xf>
    <xf numFmtId="0" fontId="0" fillId="0" borderId="35" applyAlignment="1" pivotButton="0" quotePrefix="0" xfId="0">
      <alignment horizontal="center"/>
    </xf>
    <xf numFmtId="0" fontId="0" fillId="0" borderId="1" applyAlignment="1" pivotButton="0" quotePrefix="0" xfId="0">
      <alignment horizontal="center"/>
    </xf>
    <xf numFmtId="0" fontId="0" fillId="0" borderId="2" applyAlignment="1" pivotButton="0" quotePrefix="0" xfId="0">
      <alignment horizontal="center"/>
    </xf>
    <xf numFmtId="0" fontId="0" fillId="0" borderId="32" applyAlignment="1" pivotButton="0" quotePrefix="0" xfId="0">
      <alignment horizontal="center"/>
    </xf>
    <xf numFmtId="0" fontId="0" fillId="0" borderId="0" applyAlignment="1" pivotButton="0" quotePrefix="0" xfId="0">
      <alignment horizontal="center"/>
    </xf>
    <xf numFmtId="0" fontId="0" fillId="0" borderId="29" applyAlignment="1" pivotButton="0" quotePrefix="0" xfId="0">
      <alignment horizontal="left"/>
    </xf>
    <xf numFmtId="0" fontId="0" fillId="0" borderId="30" applyAlignment="1" pivotButton="0" quotePrefix="0" xfId="0">
      <alignment horizontal="left"/>
    </xf>
    <xf numFmtId="0" fontId="18" fillId="3" borderId="11" applyAlignment="1" pivotButton="0" quotePrefix="0" xfId="0">
      <alignment horizontal="center"/>
    </xf>
    <xf numFmtId="0" fontId="18" fillId="3" borderId="12" applyAlignment="1" pivotButton="0" quotePrefix="0" xfId="0">
      <alignment horizontal="center"/>
    </xf>
    <xf numFmtId="0" fontId="18" fillId="3" borderId="13" applyAlignment="1" pivotButton="0" quotePrefix="0" xfId="0">
      <alignment horizontal="center"/>
    </xf>
    <xf numFmtId="0" fontId="0" fillId="0" borderId="26" applyAlignment="1" pivotButton="0" quotePrefix="0" xfId="0">
      <alignment horizontal="left"/>
    </xf>
    <xf numFmtId="0" fontId="0" fillId="0" borderId="27" applyAlignment="1" pivotButton="0" quotePrefix="0" xfId="0">
      <alignment horizontal="left"/>
    </xf>
    <xf numFmtId="20" fontId="28" fillId="5" borderId="21" applyAlignment="1" pivotButton="0" quotePrefix="0" xfId="0">
      <alignment horizontal="center" vertical="center"/>
    </xf>
    <xf numFmtId="20" fontId="28" fillId="5" borderId="22" applyAlignment="1" pivotButton="0" quotePrefix="0" xfId="0">
      <alignment horizontal="center" vertical="center"/>
    </xf>
    <xf numFmtId="20" fontId="28" fillId="5" borderId="23" applyAlignment="1" pivotButton="0" quotePrefix="0" xfId="0">
      <alignment horizontal="center" vertical="center"/>
    </xf>
    <xf numFmtId="20" fontId="28" fillId="5" borderId="18" applyAlignment="1" pivotButton="0" quotePrefix="0" xfId="0">
      <alignment horizontal="center" vertical="center"/>
    </xf>
    <xf numFmtId="20" fontId="28" fillId="5" borderId="19" applyAlignment="1" pivotButton="0" quotePrefix="0" xfId="0">
      <alignment horizontal="center" vertical="center"/>
    </xf>
    <xf numFmtId="20" fontId="28" fillId="5" borderId="20" applyAlignment="1" pivotButton="0" quotePrefix="0" xfId="0">
      <alignment horizontal="center" vertical="center"/>
    </xf>
    <xf numFmtId="167" fontId="0" fillId="0" borderId="15" applyAlignment="1" pivotButton="0" quotePrefix="0" xfId="2">
      <alignment horizontal="center"/>
    </xf>
    <xf numFmtId="0" fontId="0" fillId="0" borderId="0" applyAlignment="1" pivotButton="0" quotePrefix="0" xfId="0">
      <alignment horizontal="left"/>
    </xf>
    <xf numFmtId="0" fontId="0" fillId="0" borderId="0" applyAlignment="1" pivotButton="0" quotePrefix="0" xfId="0">
      <alignment horizontal="center" vertical="top"/>
    </xf>
    <xf numFmtId="0" fontId="0" fillId="0" borderId="22" applyAlignment="1" pivotButton="0" quotePrefix="0" xfId="0">
      <alignment horizontal="center" vertical="top"/>
    </xf>
    <xf numFmtId="0" fontId="0" fillId="0" borderId="19" applyAlignment="1" pivotButton="0" quotePrefix="0" xfId="0">
      <alignment horizontal="center" vertical="top"/>
    </xf>
    <xf numFmtId="0" fontId="0" fillId="0" borderId="27" applyAlignment="1" pivotButton="0" quotePrefix="0" xfId="0">
      <alignment horizontal="center"/>
    </xf>
    <xf numFmtId="0" fontId="0" fillId="0" borderId="28" applyAlignment="1" pivotButton="0" quotePrefix="0" xfId="0">
      <alignment horizontal="center"/>
    </xf>
    <xf numFmtId="0" fontId="0" fillId="9" borderId="29" applyAlignment="1" pivotButton="0" quotePrefix="0" xfId="0">
      <alignment vertical="center"/>
    </xf>
    <xf numFmtId="0" fontId="0" fillId="0" borderId="0" applyAlignment="1" pivotButton="0" quotePrefix="0" xfId="0">
      <alignment vertical="center"/>
    </xf>
    <xf numFmtId="0" fontId="0" fillId="0" borderId="36" applyAlignment="1" pivotButton="0" quotePrefix="0" xfId="0">
      <alignment vertical="center"/>
    </xf>
    <xf numFmtId="0" fontId="0" fillId="0" borderId="17" applyAlignment="1" pivotButton="0" quotePrefix="0" xfId="0">
      <alignment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20" applyAlignment="1" pivotButton="0" quotePrefix="0" xfId="0">
      <alignment vertical="center"/>
    </xf>
    <xf numFmtId="0" fontId="31" fillId="7" borderId="21" applyAlignment="1" pivotButton="0" quotePrefix="0" xfId="0">
      <alignment horizontal="center" vertical="center"/>
    </xf>
    <xf numFmtId="0" fontId="0" fillId="7" borderId="22" applyAlignment="1" pivotButton="0" quotePrefix="0" xfId="0">
      <alignment horizontal="center" vertical="center"/>
    </xf>
    <xf numFmtId="0" fontId="0" fillId="7" borderId="23" applyAlignment="1" pivotButton="0" quotePrefix="0" xfId="0">
      <alignment horizontal="center" vertical="center"/>
    </xf>
    <xf numFmtId="0" fontId="0" fillId="0" borderId="10" applyAlignment="1" pivotButton="0" quotePrefix="0" xfId="0">
      <alignment horizontal="left" vertical="top"/>
    </xf>
    <xf numFmtId="0" fontId="0" fillId="0" borderId="37" applyAlignment="1" pivotButton="0" quotePrefix="0" xfId="0">
      <alignment horizontal="left" vertical="top"/>
    </xf>
    <xf numFmtId="0" fontId="0" fillId="0" borderId="2" applyAlignment="1" pivotButton="0" quotePrefix="0" xfId="0">
      <alignment horizontal="left" vertical="top"/>
    </xf>
    <xf numFmtId="0" fontId="0" fillId="0" borderId="32" applyAlignment="1" pivotButton="0" quotePrefix="0" xfId="0">
      <alignment horizontal="left" vertical="top"/>
    </xf>
    <xf numFmtId="14" fontId="0" fillId="0" borderId="2" applyAlignment="1" pivotButton="0" quotePrefix="0" xfId="0">
      <alignment horizontal="left" vertical="top"/>
    </xf>
    <xf numFmtId="0" fontId="0" fillId="0" borderId="0" applyAlignment="1" pivotButton="0" quotePrefix="0" xfId="0">
      <alignment horizontal="center" vertical="top" wrapText="1"/>
    </xf>
    <xf numFmtId="0" fontId="2" fillId="0" borderId="2" applyAlignment="1" pivotButton="0" quotePrefix="0" xfId="0">
      <alignment horizontal="left"/>
    </xf>
    <xf numFmtId="0" fontId="2" fillId="0" borderId="25" applyAlignment="1" pivotButton="0" quotePrefix="0" xfId="0">
      <alignment horizontal="left"/>
    </xf>
    <xf numFmtId="0" fontId="33" fillId="0" borderId="5" applyAlignment="1" pivotButton="0" quotePrefix="0" xfId="0">
      <alignment horizontal="center" vertical="center"/>
    </xf>
    <xf numFmtId="0" fontId="33" fillId="0" borderId="0" applyAlignment="1" pivotButton="0" quotePrefix="0" xfId="0">
      <alignment horizontal="center" vertical="center"/>
    </xf>
    <xf numFmtId="0" fontId="33" fillId="0" borderId="6" applyAlignment="1" pivotButton="0" quotePrefix="0" xfId="0">
      <alignment horizontal="center" vertical="center"/>
    </xf>
    <xf numFmtId="0" fontId="33" fillId="0" borderId="9" applyAlignment="1" pivotButton="0" quotePrefix="0" xfId="0">
      <alignment horizontal="center" vertical="center"/>
    </xf>
    <xf numFmtId="0" fontId="33" fillId="0" borderId="10" applyAlignment="1" pivotButton="0" quotePrefix="0" xfId="0">
      <alignment horizontal="center" vertical="center"/>
    </xf>
    <xf numFmtId="0" fontId="33" fillId="0" borderId="7" applyAlignment="1" pivotButton="0" quotePrefix="0" xfId="0">
      <alignment horizontal="center" vertical="center"/>
    </xf>
    <xf numFmtId="0" fontId="0" fillId="0" borderId="0" applyAlignment="1" pivotButton="0" quotePrefix="0" xfId="0">
      <alignment wrapText="1"/>
    </xf>
    <xf numFmtId="0" fontId="7" fillId="0" borderId="0" pivotButton="0" quotePrefix="0" xfId="0"/>
    <xf numFmtId="0" fontId="17" fillId="0" borderId="0" pivotButton="0" quotePrefix="0" xfId="0"/>
    <xf numFmtId="0" fontId="8" fillId="0" borderId="30" applyAlignment="1" pivotButton="0" quotePrefix="0" xfId="0">
      <alignment horizontal="center" vertical="center"/>
    </xf>
    <xf numFmtId="0" fontId="0" fillId="0" borderId="2" pivotButton="0" quotePrefix="0" xfId="0"/>
    <xf numFmtId="0" fontId="0" fillId="0" borderId="25" pivotButton="0" quotePrefix="0" xfId="0"/>
    <xf numFmtId="0" fontId="14" fillId="3" borderId="30" applyAlignment="1" pivotButton="0" quotePrefix="0" xfId="0">
      <alignment horizontal="left"/>
    </xf>
    <xf numFmtId="0" fontId="5" fillId="0" borderId="39" applyAlignment="1" pivotButton="0" quotePrefix="0" xfId="3">
      <alignment horizontal="left"/>
    </xf>
    <xf numFmtId="0" fontId="0" fillId="0" borderId="10" pivotButton="0" quotePrefix="0" xfId="0"/>
    <xf numFmtId="0" fontId="0" fillId="0" borderId="7" pivotButton="0" quotePrefix="0" xfId="0"/>
    <xf numFmtId="0" fontId="6" fillId="0" borderId="30" applyAlignment="1" pivotButton="0" quotePrefix="0" xfId="0">
      <alignment horizontal="left"/>
    </xf>
    <xf numFmtId="0" fontId="2" fillId="0" borderId="30" applyAlignment="1" pivotButton="0" quotePrefix="0" xfId="0">
      <alignment horizontal="left"/>
    </xf>
    <xf numFmtId="17" fontId="2" fillId="0" borderId="30" applyAlignment="1" pivotButton="0" quotePrefix="0" xfId="0">
      <alignment horizontal="left"/>
    </xf>
    <xf numFmtId="166" fontId="17" fillId="0" borderId="6" applyAlignment="1" pivotButton="0" quotePrefix="0" xfId="0">
      <alignment horizontal="right"/>
    </xf>
    <xf numFmtId="165" fontId="18" fillId="0" borderId="0" pivotButton="0" quotePrefix="0" xfId="1"/>
    <xf numFmtId="166" fontId="11" fillId="0" borderId="10" applyAlignment="1" pivotButton="0" quotePrefix="0" xfId="0">
      <alignment horizontal="right"/>
    </xf>
    <xf numFmtId="166" fontId="25" fillId="0" borderId="7" applyAlignment="1" pivotButton="0" quotePrefix="0" xfId="0">
      <alignment horizontal="center"/>
    </xf>
    <xf numFmtId="0" fontId="26" fillId="0" borderId="38" applyAlignment="1" pivotButton="0" quotePrefix="0" xfId="0">
      <alignment horizontal="left" vertical="top"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33" fillId="0" borderId="39" applyAlignment="1" pivotButton="0" quotePrefix="0" xfId="0">
      <alignment horizontal="center" vertical="center"/>
    </xf>
    <xf numFmtId="0" fontId="0" fillId="0" borderId="9" pivotButton="0" quotePrefix="0" xfId="0"/>
    <xf numFmtId="0" fontId="11" fillId="0" borderId="38" applyAlignment="1" pivotButton="0" quotePrefix="0" xfId="0">
      <alignment horizontal="center" vertical="top" wrapText="1"/>
    </xf>
    <xf numFmtId="167" fontId="0" fillId="0" borderId="0" applyAlignment="1" pivotButton="0" quotePrefix="0" xfId="2">
      <alignment horizontal="center"/>
    </xf>
    <xf numFmtId="165" fontId="0" fillId="0" borderId="0" pivotButton="0" quotePrefix="0" xfId="1"/>
    <xf numFmtId="20" fontId="28" fillId="5" borderId="24" applyAlignment="1" pivotButton="0" quotePrefix="0" xfId="0">
      <alignment horizontal="center" vertical="center"/>
    </xf>
    <xf numFmtId="0" fontId="0" fillId="0" borderId="22" pivotButton="0" quotePrefix="0" xfId="0"/>
    <xf numFmtId="0" fontId="0" fillId="0" borderId="23" pivotButton="0" quotePrefix="0" xfId="0"/>
    <xf numFmtId="0" fontId="0" fillId="0" borderId="18" pivotButton="0" quotePrefix="0" xfId="0"/>
    <xf numFmtId="0" fontId="0" fillId="0" borderId="19" pivotButton="0" quotePrefix="0" xfId="0"/>
    <xf numFmtId="0" fontId="0" fillId="0" borderId="20" pivotButton="0" quotePrefix="0" xfId="0"/>
    <xf numFmtId="0" fontId="18" fillId="3" borderId="24" applyAlignment="1" pivotButton="0" quotePrefix="0" xfId="0">
      <alignment horizontal="center"/>
    </xf>
    <xf numFmtId="0" fontId="0" fillId="0" borderId="13" pivotButton="0" quotePrefix="0" xfId="0"/>
    <xf numFmtId="164" fontId="0" fillId="0" borderId="0" pivotButton="0" quotePrefix="0" xfId="0"/>
    <xf numFmtId="167" fontId="0" fillId="0" borderId="15" applyAlignment="1" pivotButton="0" quotePrefix="0" xfId="2">
      <alignment horizontal="center"/>
    </xf>
    <xf numFmtId="0" fontId="0" fillId="0" borderId="46" pivotButton="0" quotePrefix="0" xfId="0"/>
    <xf numFmtId="165" fontId="0" fillId="0" borderId="15" applyAlignment="1" pivotButton="0" quotePrefix="0" xfId="1">
      <alignment horizontal="center"/>
    </xf>
    <xf numFmtId="167" fontId="0" fillId="0" borderId="12" applyAlignment="1" pivotButton="0" quotePrefix="0" xfId="2">
      <alignment horizontal="center"/>
    </xf>
    <xf numFmtId="165" fontId="0" fillId="0" borderId="12" pivotButton="0" quotePrefix="0" xfId="1"/>
    <xf numFmtId="0" fontId="0" fillId="0" borderId="44" pivotButton="0" quotePrefix="0" xfId="0"/>
    <xf numFmtId="0" fontId="0" fillId="0" borderId="45" pivotButton="0" quotePrefix="0" xfId="0"/>
    <xf numFmtId="0" fontId="0" fillId="0" borderId="32" pivotButton="0" quotePrefix="0" xfId="0"/>
    <xf numFmtId="0" fontId="0" fillId="0" borderId="41" pivotButton="0" quotePrefix="0" xfId="0"/>
    <xf numFmtId="0" fontId="0" fillId="0" borderId="42" pivotButton="0" quotePrefix="0" xfId="0"/>
    <xf numFmtId="0" fontId="31" fillId="7" borderId="48" applyAlignment="1" pivotButton="0" quotePrefix="0" xfId="0">
      <alignment horizontal="center" vertical="center"/>
    </xf>
    <xf numFmtId="0" fontId="0" fillId="0" borderId="37" pivotButton="0" quotePrefix="0" xfId="0"/>
    <xf numFmtId="14" fontId="0" fillId="0" borderId="32" applyAlignment="1" pivotButton="0" quotePrefix="0" xfId="0">
      <alignment horizontal="left" vertical="top"/>
    </xf>
    <xf numFmtId="0" fontId="0" fillId="0" borderId="17" pivotButton="0" quotePrefix="0" xfId="0"/>
    <xf numFmtId="0" fontId="0" fillId="0" borderId="47" pivotButton="0" quotePrefix="0" xfId="0"/>
  </cellXfs>
  <cellStyles count="4">
    <cellStyle name="Normal" xfId="0" builtinId="0"/>
    <cellStyle name="Currency" xfId="1" builtinId="4"/>
    <cellStyle name="Comma" xfId="2" builtinId="3"/>
    <cellStyle name="Hyperlink" xfId="3"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29307</colOff>
      <row>0</row>
      <rowOff>7327</rowOff>
    </from>
    <to>
      <col>4</col>
      <colOff>564173</colOff>
      <row>1</row>
      <rowOff>153865</rowOff>
    </to>
    <pic>
      <nvPicPr>
        <cNvPr id="3" name="Picture 2"/>
        <cNvPicPr>
          <a:picLocks noChangeAspect="1"/>
        </cNvPicPr>
      </nvPicPr>
      <blipFill>
        <a:blip r:embed="rId1"/>
        <a:stretch>
          <a:fillRect/>
        </a:stretch>
      </blipFill>
      <spPr>
        <a:xfrm>
          <a:off x="29307" y="7327"/>
          <a:ext cx="2835520" cy="1025769"/>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V:\Bids%202026\Siding%20Bids%202026\26-262%20Aberthaw%20-%20213%20Main%20St%20-%20Malden,%20MA%20-%207-1-26%20rebid\26-004C%20Aberthaw%20-%20213%20Main%20Street,%20Malden,%20MA%20-%2001-20-26\26-004C%20Aberthaw%20-%20213%20Main%20Street,%20Malden,%20MA%20%20-%20siding%20bid%20proposal-04-2026.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heet1"/>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sean.cashman@aberthawcc.com"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outlinePr summaryBelow="1" summaryRight="1"/>
    <pageSetUpPr fitToPage="1"/>
  </sheetPr>
  <dimension ref="A1:K47"/>
  <sheetViews>
    <sheetView tabSelected="1" zoomScale="130" zoomScaleNormal="130" workbookViewId="0">
      <selection activeCell="D16" sqref="D16"/>
    </sheetView>
  </sheetViews>
  <sheetFormatPr baseColWidth="8" defaultColWidth="9.140625" defaultRowHeight="15"/>
  <cols>
    <col width="7.140625" customWidth="1" style="198" min="1" max="1"/>
    <col width="9.140625" customWidth="1" style="198" min="2" max="4"/>
    <col width="16.7109375" customWidth="1" style="198" min="5" max="5"/>
    <col width="9.5703125" customWidth="1" style="198" min="6" max="6"/>
    <col width="9.140625" customWidth="1" style="198" min="7" max="9"/>
    <col width="10" customWidth="1" style="198" min="10" max="10"/>
    <col width="9.140625" customWidth="1" style="198" min="11" max="16384"/>
  </cols>
  <sheetData>
    <row r="1" ht="69" customHeight="1">
      <c r="A1" s="10" t="n"/>
      <c r="B1" s="6" t="n"/>
      <c r="C1" s="6" t="n"/>
      <c r="D1" s="6" t="n"/>
      <c r="E1" s="6" t="n"/>
      <c r="F1" s="200" t="inlineStr">
        <is>
          <t>PROPOSAL</t>
        </is>
      </c>
      <c r="G1" s="201" t="n"/>
      <c r="H1" s="201" t="n"/>
      <c r="I1" s="201" t="n"/>
      <c r="J1" s="202" t="n"/>
    </row>
    <row r="2" ht="15.75" customHeight="1">
      <c r="A2" s="21" t="n"/>
      <c r="F2" s="8" t="inlineStr">
        <is>
          <t>DATE:</t>
        </is>
      </c>
      <c r="G2" s="128" t="n"/>
      <c r="J2" s="65" t="n"/>
    </row>
    <row r="3" ht="15.75" customHeight="1">
      <c r="A3" s="86" t="inlineStr">
        <is>
          <t>ACM. Trespa. Terracotta  &amp;  Specialty Metal Panels</t>
        </is>
      </c>
      <c r="B3" s="59" t="n"/>
      <c r="C3" s="59" t="n"/>
      <c r="D3" s="60" t="n"/>
      <c r="E3" s="61" t="n"/>
      <c r="F3" s="9" t="inlineStr">
        <is>
          <t>This proposal may be withdrawn by us if not accepted within 30 days.</t>
        </is>
      </c>
      <c r="J3" s="65" t="n"/>
    </row>
    <row r="4" ht="16.5" customHeight="1">
      <c r="A4" s="62" t="inlineStr">
        <is>
          <t>15 Erie Drive</t>
        </is>
      </c>
      <c r="B4" s="42" t="n"/>
      <c r="C4" s="42" t="n"/>
      <c r="D4" s="43" t="n"/>
      <c r="E4" s="44" t="n"/>
      <c r="F4" s="203" t="inlineStr">
        <is>
          <t>E-mail:</t>
        </is>
      </c>
      <c r="G4" s="201" t="n"/>
      <c r="H4" s="201" t="n"/>
      <c r="I4" s="201" t="n"/>
      <c r="J4" s="202" t="n"/>
    </row>
    <row r="5" ht="16.5" customHeight="1">
      <c r="A5" s="62" t="inlineStr">
        <is>
          <t>Natick, MA 01760</t>
        </is>
      </c>
      <c r="B5" s="43" t="n"/>
      <c r="C5" s="43" t="n"/>
      <c r="D5" s="43" t="n"/>
      <c r="E5" s="44" t="inlineStr">
        <is>
          <t> </t>
        </is>
      </c>
      <c r="F5" s="204" t="n"/>
      <c r="G5" s="205" t="n"/>
      <c r="H5" s="205" t="n"/>
      <c r="I5" s="205" t="n"/>
      <c r="J5" s="206" t="n"/>
    </row>
    <row r="6" ht="16.5" customHeight="1">
      <c r="A6" s="63" t="inlineStr">
        <is>
          <t xml:space="preserve">PH: 617-458-2000  </t>
        </is>
      </c>
      <c r="B6" s="64" t="n"/>
      <c r="C6" s="64" t="n"/>
      <c r="D6" s="64" t="n"/>
      <c r="E6" s="45" t="n"/>
      <c r="F6" s="203" t="inlineStr">
        <is>
          <t>Phone:</t>
        </is>
      </c>
      <c r="G6" s="201" t="n"/>
      <c r="H6" s="201" t="n"/>
      <c r="I6" s="201" t="n"/>
      <c r="J6" s="202" t="n"/>
    </row>
    <row r="7" ht="15.75" customHeight="1">
      <c r="A7" s="66" t="inlineStr">
        <is>
          <t>To:</t>
        </is>
      </c>
      <c r="B7" s="1" t="n"/>
      <c r="C7" s="11" t="n"/>
      <c r="D7" s="11" t="n"/>
      <c r="E7" s="12" t="n"/>
      <c r="F7" s="207" t="n"/>
      <c r="G7" s="201" t="n"/>
      <c r="H7" s="201" t="n"/>
      <c r="I7" s="201" t="n"/>
      <c r="J7" s="202" t="n"/>
    </row>
    <row r="8" ht="15.75" customHeight="1">
      <c r="A8" s="67" t="n"/>
      <c r="B8" s="1" t="n"/>
      <c r="C8" s="11" t="n"/>
      <c r="D8" s="11" t="n"/>
      <c r="E8" s="12" t="n"/>
      <c r="F8" s="203" t="inlineStr">
        <is>
          <t>Job Name / location:</t>
        </is>
      </c>
      <c r="G8" s="201" t="n"/>
      <c r="H8" s="201" t="n"/>
      <c r="I8" s="201" t="n"/>
      <c r="J8" s="202" t="n"/>
    </row>
    <row r="9" ht="15.75" customHeight="1">
      <c r="A9" s="67" t="n"/>
      <c r="B9" s="1" t="n"/>
      <c r="C9" s="11" t="n"/>
      <c r="D9" s="11" t="n"/>
      <c r="E9" s="12" t="n"/>
      <c r="F9" s="208" t="n"/>
      <c r="G9" s="201" t="n"/>
      <c r="H9" s="201" t="n"/>
      <c r="I9" s="201" t="n"/>
      <c r="J9" s="202" t="n"/>
    </row>
    <row r="10" ht="15.75" customHeight="1">
      <c r="A10" s="68" t="n"/>
      <c r="B10" s="1" t="n"/>
      <c r="D10" s="13" t="n"/>
      <c r="E10" s="12" t="n"/>
      <c r="F10" s="203" t="inlineStr">
        <is>
          <t xml:space="preserve">Job number: </t>
        </is>
      </c>
      <c r="G10" s="201" t="n"/>
      <c r="H10" s="201" t="n"/>
      <c r="I10" s="201" t="n"/>
      <c r="J10" s="202" t="n"/>
    </row>
    <row r="11" ht="15.75" customHeight="1">
      <c r="A11" s="69" t="n"/>
      <c r="C11" s="14" t="n"/>
      <c r="D11" s="14" t="n"/>
      <c r="E11" s="15" t="n"/>
      <c r="F11" s="209" t="n"/>
      <c r="G11" s="201" t="n"/>
      <c r="H11" s="201" t="n"/>
      <c r="I11" s="201" t="n"/>
      <c r="J11" s="202" t="n"/>
    </row>
    <row r="12">
      <c r="A12" s="70" t="inlineStr">
        <is>
          <t>We hereby submit specifications and estimates for:</t>
        </is>
      </c>
      <c r="B12" s="6" t="n"/>
      <c r="C12" s="6" t="n"/>
      <c r="D12" s="6" t="n"/>
      <c r="E12" s="6" t="n"/>
      <c r="F12" s="16" t="n"/>
      <c r="G12" s="6" t="n"/>
      <c r="H12" s="6" t="n"/>
      <c r="I12" s="6" t="n"/>
      <c r="J12" s="71" t="n"/>
    </row>
    <row r="13">
      <c r="A13" s="72" t="n"/>
      <c r="B13" s="17" t="n"/>
      <c r="C13" s="198" t="n"/>
      <c r="D13" s="198" t="n"/>
      <c r="E13" s="198" t="n"/>
      <c r="F13" s="199" t="n"/>
      <c r="G13" s="198" t="n"/>
      <c r="H13" s="198" t="n"/>
      <c r="I13" s="198" t="n"/>
      <c r="J13" s="65" t="n"/>
    </row>
    <row r="14">
      <c r="A14" s="72" t="n"/>
      <c r="B14" s="58" t="n"/>
      <c r="C14" s="198" t="n"/>
      <c r="D14" s="198" t="n"/>
      <c r="E14" s="198" t="n"/>
      <c r="F14" s="199" t="n"/>
      <c r="G14" s="198" t="n"/>
      <c r="H14" s="198" t="n"/>
      <c r="I14" s="198" t="n"/>
      <c r="J14" s="65" t="n"/>
    </row>
    <row r="15" ht="14.45" customHeight="1">
      <c r="A15" s="72" t="n"/>
      <c r="B15" s="58" t="n"/>
      <c r="C15" s="18" t="n"/>
      <c r="D15" s="18" t="n"/>
      <c r="E15" s="18" t="n"/>
      <c r="F15" s="18" t="n"/>
      <c r="G15" s="18" t="n"/>
      <c r="H15" s="18" t="n"/>
      <c r="I15" s="18" t="n"/>
      <c r="J15" s="65" t="n"/>
    </row>
    <row r="16" ht="15" customHeight="1">
      <c r="A16" s="72" t="n"/>
      <c r="B16" s="58" t="n"/>
      <c r="C16" s="46" t="n"/>
      <c r="D16" s="46" t="n"/>
      <c r="E16" s="46" t="n"/>
      <c r="F16" s="46" t="n"/>
      <c r="G16" s="46" t="n"/>
      <c r="H16" s="46" t="n"/>
      <c r="I16" s="46" t="n"/>
      <c r="J16" s="65" t="n"/>
    </row>
    <row r="17" ht="15" customHeight="1">
      <c r="A17" s="73" t="n"/>
      <c r="B17" s="199" t="n"/>
      <c r="C17" s="199" t="n"/>
      <c r="D17" s="199" t="n"/>
      <c r="E17" s="199" t="n"/>
      <c r="F17" s="199" t="n"/>
      <c r="G17" s="199" t="n"/>
      <c r="H17" s="199" t="n"/>
      <c r="I17" s="199" t="n"/>
      <c r="J17" s="65" t="n"/>
    </row>
    <row r="18" ht="15" customHeight="1">
      <c r="A18" s="73" t="n"/>
      <c r="B18" s="199" t="n"/>
      <c r="C18" s="199" t="n"/>
      <c r="D18" s="199" t="n"/>
      <c r="E18" s="199" t="n"/>
      <c r="F18" s="199" t="n"/>
      <c r="G18" s="199" t="n"/>
      <c r="H18" s="199" t="n"/>
      <c r="I18" s="199" t="n"/>
      <c r="J18" s="65" t="n"/>
      <c r="K18" s="199" t="n"/>
    </row>
    <row r="19" ht="15" customHeight="1">
      <c r="A19" s="73" t="n"/>
      <c r="B19" s="199" t="n"/>
      <c r="C19" s="199" t="n"/>
      <c r="D19" s="199" t="n"/>
      <c r="E19" s="199" t="n"/>
      <c r="F19" s="199" t="n"/>
      <c r="G19" s="199" t="n"/>
      <c r="H19" s="199" t="n"/>
      <c r="I19" s="199" t="n"/>
      <c r="J19" s="65" t="n"/>
      <c r="K19" s="199" t="n"/>
    </row>
    <row r="20" ht="15" customHeight="1">
      <c r="A20" s="73" t="n"/>
      <c r="B20" s="199" t="n"/>
      <c r="C20" s="199" t="n"/>
      <c r="D20" s="199" t="n"/>
      <c r="E20" s="199" t="n"/>
      <c r="F20" s="199" t="n"/>
      <c r="G20" s="199" t="n"/>
      <c r="H20" s="199" t="n"/>
      <c r="I20" s="199" t="n"/>
      <c r="J20" s="65" t="n"/>
      <c r="K20" s="199" t="n"/>
    </row>
    <row r="21" ht="15" customHeight="1">
      <c r="A21" s="73" t="n"/>
      <c r="B21" s="199" t="n"/>
      <c r="C21" s="199" t="n"/>
      <c r="D21" s="199" t="n"/>
      <c r="E21" s="199" t="n"/>
      <c r="F21" s="199" t="n"/>
      <c r="G21" s="199" t="n"/>
      <c r="H21" s="199" t="n"/>
      <c r="I21" s="199" t="n"/>
      <c r="J21" s="65" t="n"/>
    </row>
    <row r="22" ht="15" customHeight="1">
      <c r="A22" s="73" t="n"/>
      <c r="B22" s="199" t="n"/>
      <c r="C22" s="199" t="n"/>
      <c r="D22" s="199" t="n"/>
      <c r="E22" s="199" t="n"/>
      <c r="F22" s="199" t="n"/>
      <c r="G22" s="199" t="n"/>
      <c r="H22" s="199" t="n"/>
      <c r="I22" s="199" t="n"/>
      <c r="J22" s="65" t="n"/>
    </row>
    <row r="23" ht="15" customHeight="1">
      <c r="A23" s="73" t="n"/>
      <c r="B23" s="199" t="n"/>
      <c r="C23" s="199" t="n"/>
      <c r="D23" s="199" t="n"/>
      <c r="E23" s="199" t="n"/>
      <c r="F23" s="199" t="n"/>
      <c r="G23" s="199" t="n"/>
      <c r="H23" s="199" t="n"/>
      <c r="I23" s="199" t="n"/>
      <c r="J23" s="65" t="n"/>
    </row>
    <row r="24" ht="15" customHeight="1">
      <c r="A24" s="73" t="n"/>
      <c r="B24" s="199" t="n"/>
      <c r="C24" s="199" t="n"/>
      <c r="D24" s="199" t="n"/>
      <c r="E24" s="199" t="n"/>
      <c r="F24" s="199" t="n"/>
      <c r="G24" s="199" t="n"/>
      <c r="H24" s="199" t="n"/>
      <c r="I24" s="199" t="n"/>
      <c r="J24" s="65" t="n"/>
    </row>
    <row r="25" ht="14.45" customHeight="1">
      <c r="A25" s="73" t="n"/>
      <c r="B25" s="199" t="n"/>
      <c r="C25" s="199" t="n"/>
      <c r="D25" s="199" t="n"/>
      <c r="E25" s="199" t="n"/>
      <c r="F25" s="199" t="n"/>
      <c r="G25" s="199" t="n"/>
      <c r="H25" s="199" t="n"/>
      <c r="I25" s="199" t="n"/>
      <c r="J25" s="65" t="n"/>
    </row>
    <row r="26">
      <c r="A26" s="73" t="n"/>
      <c r="B26" s="20" t="n"/>
      <c r="C26" s="199" t="n"/>
      <c r="D26" s="199" t="n"/>
      <c r="E26" s="199" t="n"/>
      <c r="F26" s="199" t="n"/>
      <c r="G26" s="199" t="n"/>
      <c r="H26" s="199" t="n"/>
      <c r="I26" s="199" t="n"/>
      <c r="J26" s="65" t="n"/>
    </row>
    <row r="27">
      <c r="A27" s="73" t="n"/>
      <c r="B27" s="20" t="inlineStr">
        <is>
          <t> </t>
        </is>
      </c>
      <c r="H27" s="199" t="n"/>
      <c r="I27" s="199" t="n"/>
      <c r="J27" s="65" t="n"/>
    </row>
    <row r="28">
      <c r="A28" s="73" t="n"/>
      <c r="B28" s="23" t="inlineStr">
        <is>
          <t>ADD/ALT: ENGINEERING DESIGN AND CALCULATIONS</t>
        </is>
      </c>
      <c r="C28" s="23" t="n"/>
      <c r="D28" s="23" t="n"/>
      <c r="E28" s="23" t="n"/>
      <c r="F28" s="87" t="n"/>
      <c r="G28" s="23" t="n"/>
      <c r="H28" s="23" t="inlineStr">
        <is>
          <t>: $4500</t>
        </is>
      </c>
      <c r="I28" s="23" t="n"/>
      <c r="J28" s="65" t="n"/>
    </row>
    <row r="29">
      <c r="A29" s="99" t="n"/>
      <c r="B29" s="96" t="inlineStr">
        <is>
          <t xml:space="preserve">NOTE: Air Vapor barrier behind all exterior panel system not included </t>
        </is>
      </c>
      <c r="C29" s="96" t="n"/>
      <c r="D29" s="96" t="n"/>
      <c r="E29" s="96" t="n"/>
      <c r="F29" s="97" t="n"/>
      <c r="G29" s="96" t="n"/>
      <c r="H29" s="96" t="n"/>
      <c r="I29" s="96" t="n"/>
      <c r="J29" s="98" t="n"/>
    </row>
    <row r="30">
      <c r="A30" s="99" t="inlineStr">
        <is>
          <t>NOTE: THIS IS A BUDGETARY NUMBER ONLY PENDING FINAL SCOPE REVIEW &amp; ENGINEERING CRITERIA</t>
        </is>
      </c>
      <c r="B30" s="100" t="n"/>
      <c r="C30" s="96" t="n"/>
      <c r="D30" s="96" t="n"/>
      <c r="E30" s="96" t="n"/>
      <c r="F30" s="96" t="n"/>
      <c r="G30" s="96" t="n"/>
      <c r="H30" s="101" t="n"/>
      <c r="I30" s="100" t="n"/>
      <c r="J30" s="102" t="n"/>
    </row>
    <row r="31">
      <c r="A31" s="99" t="n"/>
      <c r="B31" s="100" t="n"/>
      <c r="C31" s="100" t="inlineStr">
        <is>
          <t>PRICING GOOD FOR 30 DAYS DUE TO INDUSTRY-WIDE PRICE ESCALATION</t>
        </is>
      </c>
      <c r="D31" s="100" t="n"/>
      <c r="E31" s="100" t="n"/>
      <c r="F31" s="100" t="n"/>
      <c r="G31" s="100" t="n"/>
      <c r="H31" s="101" t="n"/>
      <c r="I31" s="100" t="n"/>
      <c r="J31" s="102" t="n"/>
    </row>
    <row r="32">
      <c r="A32" s="21" t="n"/>
      <c r="J32" s="65" t="n"/>
    </row>
    <row r="33">
      <c r="A33" s="21" t="n"/>
      <c r="B33" s="22" t="inlineStr">
        <is>
          <t xml:space="preserve">NIC: blocking, framing,  plywood substrate, police details &amp; street permits, </t>
        </is>
      </c>
      <c r="C33" s="20" t="n"/>
      <c r="D33" s="20" t="n"/>
      <c r="E33" s="20" t="n"/>
      <c r="F33" s="20" t="n"/>
      <c r="G33" s="20" t="n"/>
      <c r="H33" s="24" t="n"/>
      <c r="I33" s="20" t="n"/>
      <c r="J33" s="65" t="n"/>
    </row>
    <row r="34">
      <c r="A34" s="21" t="n"/>
      <c r="B34" s="25" t="inlineStr">
        <is>
          <t xml:space="preserve">thru-wall flashings, flashings not associated with the panel installations, </t>
        </is>
      </c>
      <c r="C34" s="20" t="n"/>
      <c r="D34" s="20" t="n"/>
      <c r="E34" s="20" t="n"/>
      <c r="F34" s="20" t="n"/>
      <c r="G34" s="20" t="n"/>
      <c r="H34" s="24" t="n"/>
      <c r="I34" s="20" t="n"/>
      <c r="J34" s="65" t="n"/>
    </row>
    <row r="35">
      <c r="A35" s="74" t="n"/>
      <c r="B35" s="25" t="inlineStr">
        <is>
          <t xml:space="preserve"> custom colors* (except where noted), winter conditions</t>
        </is>
      </c>
      <c r="C35" s="199" t="n"/>
      <c r="D35" s="199" t="n"/>
      <c r="E35" s="199" t="n"/>
      <c r="F35" s="199" t="n"/>
      <c r="G35" s="199" t="n"/>
      <c r="H35" s="26" t="n"/>
      <c r="I35" s="20" t="n"/>
      <c r="J35" s="210" t="n"/>
    </row>
    <row r="36">
      <c r="A36" s="21" t="n"/>
      <c r="B36" s="25" t="inlineStr">
        <is>
          <t>*** all contracts to have "BPS conditions for Metal Panels/Siding" attached.</t>
        </is>
      </c>
      <c r="D36" s="211" t="n"/>
      <c r="H36" s="28" t="n"/>
      <c r="J36" s="76" t="n"/>
    </row>
    <row r="37" ht="15.75" customHeight="1">
      <c r="A37" s="77" t="inlineStr">
        <is>
          <t>We propose hereby to furnish materials and labor - complete in accordance with above specifications for the sum of:</t>
        </is>
      </c>
      <c r="B37" s="6" t="n"/>
      <c r="C37" s="6" t="n"/>
      <c r="D37" s="6" t="n"/>
      <c r="E37" s="6" t="n"/>
      <c r="F37" s="6" t="n"/>
      <c r="G37" s="6" t="n"/>
      <c r="H37" s="6" t="n"/>
      <c r="I37" s="6" t="n"/>
      <c r="J37" s="71" t="n"/>
    </row>
    <row r="38" ht="18" customHeight="1">
      <c r="A38" s="78" t="n"/>
      <c r="B38" s="29" t="n"/>
      <c r="C38" s="30" t="n"/>
      <c r="D38" s="30" t="n"/>
      <c r="E38" s="31" t="n"/>
      <c r="F38" s="212" t="n"/>
      <c r="G38" s="31" t="n"/>
      <c r="H38" s="33" t="inlineStr">
        <is>
          <t>TOTAL:</t>
        </is>
      </c>
      <c r="I38" s="213">
        <f>Estimate!G27</f>
        <v/>
      </c>
      <c r="J38" s="206" t="n"/>
    </row>
    <row r="39">
      <c r="A39" s="79" t="inlineStr">
        <is>
          <t>Payment to be made as follows:</t>
        </is>
      </c>
      <c r="B39" s="34" t="n"/>
      <c r="C39" s="34" t="n"/>
      <c r="D39" s="34" t="n"/>
      <c r="E39" s="34" t="inlineStr">
        <is>
          <t>AIA Format</t>
        </is>
      </c>
      <c r="F39" s="34" t="n"/>
      <c r="G39" s="34" t="n"/>
      <c r="H39" s="34" t="n"/>
      <c r="I39" s="34" t="n"/>
      <c r="J39" s="80" t="n"/>
    </row>
    <row r="40" ht="21.95" customHeight="1">
      <c r="A40" s="214" t="inlineStr">
        <is>
          <t>All material to be as specified. All work to be performed in a professional manner according to standard practices. Any alteration or deviation from above specifications involving additional costs will be executed only upon written orders and will be an extra charge. .  Payment is due in full within thirty (30) days of the date of the invoice.  Interest will be charged on outstanding balances at twelve percent (12%) per annum.  In the event of nonpayment, Boston Facade Systems will be entitled to recover its reasonable attorney fees, collection agency costs and all court costs or related fees incurred in any collection efforts.</t>
        </is>
      </c>
      <c r="B40" s="215" t="n"/>
      <c r="C40" s="215" t="n"/>
      <c r="D40" s="215" t="n"/>
      <c r="E40" s="215" t="n"/>
      <c r="F40" s="216" t="n"/>
      <c r="G40" s="21" t="n"/>
      <c r="J40" s="65" t="n"/>
    </row>
    <row r="41" ht="20.1" customHeight="1">
      <c r="A41" s="217" t="n"/>
      <c r="F41" s="218" t="n"/>
      <c r="G41" s="219" t="inlineStr">
        <is>
          <t>Akshita Patel</t>
        </is>
      </c>
      <c r="J41" s="218" t="n"/>
    </row>
    <row r="42" ht="35.25" customHeight="1">
      <c r="A42" s="217" t="n"/>
      <c r="F42" s="218" t="n"/>
      <c r="G42" s="220" t="n"/>
      <c r="H42" s="205" t="n"/>
      <c r="I42" s="205" t="n"/>
      <c r="J42" s="206" t="n"/>
    </row>
    <row r="43">
      <c r="A43" s="217" t="n"/>
      <c r="F43" s="218" t="n"/>
      <c r="G43" s="39" t="n"/>
      <c r="H43" s="40" t="inlineStr">
        <is>
          <t>Authorized Signature</t>
        </is>
      </c>
      <c r="I43" s="41" t="n"/>
      <c r="J43" s="81" t="n"/>
    </row>
    <row r="44">
      <c r="A44" s="221" t="inlineStr">
        <is>
          <t xml:space="preserve">Acceptance of Proposal - The above prices, specifications and conditions are satisfactory and hereby accepted. You are authorized to do the work as specified. Payment as outlined above. </t>
        </is>
      </c>
      <c r="B44" s="215" t="n"/>
      <c r="C44" s="215" t="n"/>
      <c r="D44" s="215" t="n"/>
      <c r="E44" s="215" t="n"/>
      <c r="F44" s="216" t="n"/>
      <c r="G44" s="10" t="n"/>
      <c r="H44" s="6" t="n"/>
      <c r="I44" s="6" t="n"/>
      <c r="J44" s="71" t="n"/>
    </row>
    <row r="45">
      <c r="A45" s="217" t="n"/>
      <c r="F45" s="218" t="n"/>
      <c r="G45" s="21" t="n"/>
      <c r="J45" s="65" t="n"/>
    </row>
    <row r="46" ht="15.75" customHeight="1" thickBot="1">
      <c r="A46" s="217" t="n"/>
      <c r="F46" s="218" t="n"/>
      <c r="G46" s="21" t="n"/>
      <c r="J46" s="65" t="n"/>
    </row>
    <row r="47">
      <c r="A47" s="82" t="n"/>
      <c r="B47" s="83" t="n"/>
      <c r="C47" s="83" t="n"/>
      <c r="D47" s="84" t="inlineStr">
        <is>
          <t>Date:</t>
        </is>
      </c>
      <c r="E47" s="82" t="n"/>
      <c r="F47" s="85" t="n"/>
      <c r="G47" s="39" t="n"/>
      <c r="H47" s="40" t="inlineStr">
        <is>
          <t>Signature</t>
        </is>
      </c>
      <c r="I47" s="41" t="n"/>
      <c r="J47" s="81" t="n"/>
    </row>
  </sheetData>
  <mergeCells count="14">
    <mergeCell ref="F9:J9"/>
    <mergeCell ref="F7:J7"/>
    <mergeCell ref="F11:J11"/>
    <mergeCell ref="I38:J38"/>
    <mergeCell ref="G2:H2"/>
    <mergeCell ref="A40:F43"/>
    <mergeCell ref="F10:J10"/>
    <mergeCell ref="F8:J8"/>
    <mergeCell ref="A44:F46"/>
    <mergeCell ref="F5:J5"/>
    <mergeCell ref="F6:J6"/>
    <mergeCell ref="F1:J1"/>
    <mergeCell ref="G41:J42"/>
    <mergeCell ref="F4:J4"/>
  </mergeCells>
  <hyperlinks>
    <hyperlink xmlns:r="http://schemas.openxmlformats.org/officeDocument/2006/relationships" ref="F5" r:id="rId1"/>
  </hyperlinks>
  <pageMargins left="0.85" right="0.7" top="0.75" bottom="0.75" header="0.3" footer="0.3"/>
  <pageSetup orientation="portrait" scale="87"/>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J46"/>
  <sheetViews>
    <sheetView zoomScale="130" zoomScaleNormal="130" workbookViewId="0">
      <selection activeCell="C15" sqref="C15"/>
    </sheetView>
  </sheetViews>
  <sheetFormatPr baseColWidth="8" defaultRowHeight="15"/>
  <cols>
    <col width="5.140625" customWidth="1" min="1" max="1"/>
    <col width="45.42578125" customWidth="1" min="2" max="2"/>
    <col width="11.85546875" customWidth="1" style="222" min="3" max="3"/>
    <col width="4.140625" customWidth="1" min="4" max="4"/>
    <col width="5.42578125" customWidth="1" style="152" min="5" max="5"/>
    <col width="12.85546875" customWidth="1" style="223" min="6" max="6"/>
    <col width="12.42578125" customWidth="1" min="7" max="7"/>
  </cols>
  <sheetData>
    <row r="1" ht="14.45" customHeight="1">
      <c r="A1" s="224">
        <f>Sheet1!F9</f>
        <v/>
      </c>
      <c r="B1" s="225" t="n"/>
      <c r="C1" s="225" t="n"/>
      <c r="D1" s="225" t="n"/>
      <c r="E1" s="225" t="n"/>
      <c r="F1" s="225" t="n"/>
      <c r="G1" s="225" t="n"/>
      <c r="H1" s="226" t="n"/>
      <c r="I1" s="48" t="n"/>
    </row>
    <row r="2" ht="15" customHeight="1" thickBot="1">
      <c r="A2" s="227" t="n"/>
      <c r="B2" s="228" t="n"/>
      <c r="C2" s="228" t="n"/>
      <c r="D2" s="228" t="n"/>
      <c r="E2" s="228" t="n"/>
      <c r="F2" s="228" t="n"/>
      <c r="G2" s="228" t="n"/>
      <c r="H2" s="229" t="n"/>
      <c r="I2" s="48" t="n"/>
    </row>
    <row r="3" ht="15.75" customHeight="1" thickBot="1">
      <c r="A3" s="167" t="n"/>
    </row>
    <row r="4" ht="15.75" customHeight="1" thickBot="1">
      <c r="A4" s="230" t="inlineStr">
        <is>
          <t>PANELS</t>
        </is>
      </c>
      <c r="B4" s="52" t="n"/>
      <c r="C4" s="52" t="n"/>
      <c r="D4" s="52" t="n"/>
      <c r="E4" s="52" t="n"/>
      <c r="F4" s="52" t="n"/>
      <c r="G4" s="231" t="n"/>
      <c r="J4" s="232" t="n"/>
    </row>
    <row r="5" ht="15.75" customHeight="1" thickBot="1">
      <c r="A5" s="47" t="inlineStr">
        <is>
          <t>No.</t>
        </is>
      </c>
      <c r="B5" s="38" t="inlineStr">
        <is>
          <t>ACM/ACP</t>
        </is>
      </c>
      <c r="C5" s="233" t="inlineStr">
        <is>
          <t>Quantity</t>
        </is>
      </c>
      <c r="D5" s="234" t="n"/>
      <c r="E5" s="35" t="inlineStr">
        <is>
          <t>Conv</t>
        </is>
      </c>
      <c r="F5" s="235" t="inlineStr">
        <is>
          <t>Rate</t>
        </is>
      </c>
      <c r="G5" s="37" t="inlineStr">
        <is>
          <t>Amount</t>
        </is>
      </c>
    </row>
    <row r="6">
      <c r="A6" s="152" t="n"/>
      <c r="G6" s="3" t="n"/>
    </row>
    <row r="7" ht="30" customHeight="1">
      <c r="A7" s="152" t="n"/>
      <c r="B7" s="197" t="n"/>
      <c r="C7" s="222" t="n"/>
      <c r="E7" s="152" t="n"/>
      <c r="F7" s="223" t="n"/>
      <c r="G7" s="3" t="n"/>
    </row>
    <row r="8">
      <c r="A8" s="152" t="n"/>
      <c r="B8" s="197" t="n"/>
      <c r="G8" s="3" t="n"/>
    </row>
    <row r="9">
      <c r="A9" s="152" t="n"/>
      <c r="G9" s="3" t="n"/>
    </row>
    <row r="10" ht="30" customHeight="1">
      <c r="A10" s="152" t="n"/>
      <c r="B10" s="197" t="n"/>
      <c r="C10" s="222" t="n"/>
      <c r="E10" s="152" t="n"/>
      <c r="F10" s="223" t="n"/>
      <c r="G10" s="3" t="n"/>
    </row>
    <row r="11">
      <c r="A11" s="152" t="n"/>
      <c r="B11" s="197" t="n"/>
      <c r="G11" s="3" t="n"/>
    </row>
    <row r="12">
      <c r="A12" s="152" t="n"/>
      <c r="G12" s="3" t="n"/>
    </row>
    <row r="13" ht="45" customHeight="1">
      <c r="A13" s="152" t="n"/>
      <c r="B13" s="197" t="n"/>
      <c r="C13" s="222" t="n"/>
      <c r="E13" s="152" t="n"/>
      <c r="F13" s="223" t="n"/>
      <c r="G13" s="3" t="n"/>
    </row>
    <row r="14">
      <c r="A14" s="152" t="n"/>
      <c r="B14" s="197" t="n"/>
      <c r="G14" s="3" t="n"/>
    </row>
    <row r="15">
      <c r="A15" s="152" t="n"/>
      <c r="G15" s="3" t="n"/>
    </row>
    <row r="16" ht="45" customHeight="1">
      <c r="A16" s="152" t="n"/>
      <c r="B16" s="197" t="n"/>
      <c r="C16" s="222" t="n"/>
      <c r="E16" s="152" t="n"/>
      <c r="F16" s="223" t="n"/>
      <c r="G16" s="3" t="n"/>
    </row>
    <row r="17">
      <c r="A17" s="152" t="n"/>
      <c r="B17" s="197" t="n"/>
      <c r="G17" s="3" t="n"/>
    </row>
    <row r="18">
      <c r="A18" s="152" t="n"/>
      <c r="B18" s="197" t="n"/>
      <c r="G18" s="3" t="n"/>
    </row>
    <row r="19" ht="30" customHeight="1">
      <c r="A19" s="152" t="n"/>
      <c r="B19" s="197" t="n"/>
      <c r="C19" s="222" t="n"/>
      <c r="E19" s="152" t="n"/>
      <c r="F19" s="223" t="n"/>
      <c r="G19" s="3" t="n"/>
    </row>
    <row r="20">
      <c r="A20" s="152" t="n"/>
      <c r="B20" s="197" t="n"/>
      <c r="G20" s="3" t="n"/>
    </row>
    <row r="21">
      <c r="A21" s="152" t="n"/>
      <c r="B21" s="197" t="n"/>
      <c r="C21" s="222" t="n"/>
      <c r="E21" s="152" t="n"/>
      <c r="F21" s="223" t="n"/>
      <c r="G21" s="3" t="n"/>
    </row>
    <row r="22">
      <c r="A22" s="152" t="n"/>
      <c r="B22" s="197" t="n"/>
      <c r="G22" s="3" t="n"/>
    </row>
    <row r="23">
      <c r="A23" s="152" t="n"/>
      <c r="B23" s="197" t="n"/>
      <c r="C23" s="222" t="n"/>
      <c r="E23" s="152" t="n"/>
      <c r="F23" s="223" t="n"/>
      <c r="G23" s="3" t="n"/>
    </row>
    <row r="24">
      <c r="A24" s="152" t="n"/>
      <c r="B24" s="197" t="n"/>
      <c r="G24" s="3" t="n"/>
    </row>
    <row r="25">
      <c r="A25" s="152" t="n"/>
      <c r="B25" s="197" t="n"/>
      <c r="G25" s="3" t="n"/>
    </row>
    <row r="26" ht="15.75" customHeight="1" thickBot="1">
      <c r="A26" s="152" t="n"/>
      <c r="G26" s="3" t="n"/>
    </row>
    <row r="27" ht="15.75" customHeight="1" thickBot="1">
      <c r="A27" s="50" t="n"/>
      <c r="B27" s="56" t="inlineStr">
        <is>
          <t xml:space="preserve">Total </t>
        </is>
      </c>
      <c r="C27" s="236" t="n">
        <v>0</v>
      </c>
      <c r="D27" s="52" t="n"/>
      <c r="E27" s="53" t="n"/>
      <c r="F27" s="237" t="n"/>
      <c r="G27" s="55">
        <f>SUM(G6:G26)</f>
        <v/>
      </c>
    </row>
    <row r="28" ht="15.75" customHeight="1" thickBot="1"/>
    <row r="29" ht="15.75" customHeight="1" thickBot="1">
      <c r="A29" s="230" t="inlineStr">
        <is>
          <t>PANEL BACK-UP SYSTEM- Z-Girts, Hat Channel, Insulation</t>
        </is>
      </c>
      <c r="B29" s="52" t="n"/>
      <c r="C29" s="52" t="n"/>
      <c r="D29" s="52" t="n"/>
      <c r="E29" s="52" t="n"/>
      <c r="F29" s="52" t="n"/>
      <c r="G29" s="52" t="n"/>
      <c r="H29" s="52" t="n"/>
      <c r="I29" s="52" t="n"/>
      <c r="J29" s="231" t="n"/>
    </row>
    <row r="30">
      <c r="A30" s="90" t="n"/>
      <c r="B30" s="91" t="n"/>
      <c r="C30" s="169" t="n"/>
      <c r="D30" s="225" t="n"/>
      <c r="E30" s="225" t="n"/>
      <c r="F30" s="225" t="n"/>
      <c r="G30" s="225" t="n"/>
      <c r="H30" s="225" t="n"/>
      <c r="I30" s="225" t="n"/>
      <c r="J30" s="225" t="n"/>
    </row>
    <row r="31">
      <c r="A31" s="92" t="n"/>
      <c r="B31" s="93" t="n"/>
      <c r="C31" s="168" t="n"/>
    </row>
    <row r="32">
      <c r="A32" s="92" t="n"/>
      <c r="B32" s="93" t="n"/>
      <c r="C32" s="168" t="n"/>
    </row>
    <row r="33">
      <c r="A33" s="92" t="n"/>
      <c r="B33" s="93" t="n"/>
      <c r="C33" s="168" t="n"/>
    </row>
    <row r="34">
      <c r="A34" s="92" t="n"/>
      <c r="B34" s="93" t="n"/>
      <c r="C34" s="168" t="n"/>
    </row>
    <row r="35" ht="15.75" customHeight="1" thickBot="1">
      <c r="A35" s="94" t="n"/>
      <c r="B35" s="95" t="n"/>
      <c r="C35" s="170" t="n"/>
      <c r="D35" s="228" t="n"/>
      <c r="E35" s="228" t="n"/>
      <c r="F35" s="228" t="n"/>
      <c r="G35" s="228" t="n"/>
      <c r="H35" s="228" t="n"/>
      <c r="I35" s="228" t="n"/>
      <c r="J35" s="228" t="n"/>
    </row>
    <row r="36" ht="15.75" customHeight="1" thickBot="1">
      <c r="F36" s="152" t="n"/>
    </row>
    <row r="37" ht="15.75" customHeight="1" thickBot="1">
      <c r="A37" s="230" t="inlineStr">
        <is>
          <t>SPECIFICATIONS</t>
        </is>
      </c>
      <c r="B37" s="52" t="n"/>
      <c r="C37" s="52" t="n"/>
      <c r="D37" s="52" t="n"/>
      <c r="E37" s="52" t="n"/>
      <c r="F37" s="52" t="n"/>
      <c r="G37" s="231" t="n"/>
    </row>
    <row r="38" ht="15.75" customHeight="1" thickBot="1"/>
    <row r="39">
      <c r="A39" s="158" t="inlineStr">
        <is>
          <t>GC</t>
        </is>
      </c>
      <c r="B39" s="238" t="n"/>
      <c r="C39" s="171" t="n"/>
      <c r="D39" s="239" t="n"/>
      <c r="E39" s="238" t="n"/>
    </row>
    <row r="40">
      <c r="A40" s="153" t="inlineStr">
        <is>
          <t>Location</t>
        </is>
      </c>
      <c r="B40" s="202" t="n"/>
      <c r="C40" s="143" t="n"/>
      <c r="D40" s="201" t="n"/>
      <c r="E40" s="202" t="n"/>
    </row>
    <row r="41">
      <c r="A41" s="153" t="inlineStr">
        <is>
          <t>Profit/Non-Profit</t>
        </is>
      </c>
      <c r="B41" s="154" t="n"/>
      <c r="C41" s="144" t="n"/>
      <c r="D41" s="201" t="n"/>
      <c r="E41" s="240" t="n"/>
    </row>
    <row r="42">
      <c r="A42" s="153" t="inlineStr">
        <is>
          <t>Taxable/Non-Taxable</t>
        </is>
      </c>
      <c r="B42" s="154" t="n"/>
      <c r="C42" s="144" t="n"/>
      <c r="D42" s="201" t="n"/>
      <c r="E42" s="240" t="n"/>
    </row>
    <row r="43">
      <c r="A43" s="153" t="inlineStr">
        <is>
          <t>Prevailing Wage</t>
        </is>
      </c>
      <c r="B43" s="154" t="n"/>
      <c r="C43" s="144" t="n"/>
      <c r="D43" s="201" t="n"/>
      <c r="E43" s="240" t="n"/>
    </row>
    <row r="44">
      <c r="A44" s="153" t="inlineStr">
        <is>
          <t>Drawing Set</t>
        </is>
      </c>
      <c r="B44" s="202" t="n"/>
      <c r="C44" s="143" t="n"/>
      <c r="D44" s="201" t="n"/>
      <c r="E44" s="202" t="n"/>
    </row>
    <row r="45" ht="15.75" customHeight="1" thickBot="1">
      <c r="A45" s="145" t="inlineStr">
        <is>
          <t>Building Height</t>
        </is>
      </c>
      <c r="B45" s="241" t="n"/>
      <c r="C45" s="147" t="n"/>
      <c r="D45" s="242" t="n"/>
      <c r="E45" s="241" t="n"/>
    </row>
    <row r="46">
      <c r="F46" s="152" t="n"/>
    </row>
  </sheetData>
  <mergeCells count="25">
    <mergeCell ref="C34:J34"/>
    <mergeCell ref="C44:E44"/>
    <mergeCell ref="C41:E41"/>
    <mergeCell ref="C30:J30"/>
    <mergeCell ref="C33:J33"/>
    <mergeCell ref="C5:D5"/>
    <mergeCell ref="A45:B45"/>
    <mergeCell ref="C40:E40"/>
    <mergeCell ref="A4:G4"/>
    <mergeCell ref="A29:J29"/>
    <mergeCell ref="C43:E43"/>
    <mergeCell ref="C35:J35"/>
    <mergeCell ref="C39:E39"/>
    <mergeCell ref="F36:J36"/>
    <mergeCell ref="C31:J31"/>
    <mergeCell ref="A3:H3"/>
    <mergeCell ref="F46:J46"/>
    <mergeCell ref="A1:H2"/>
    <mergeCell ref="A37:G37"/>
    <mergeCell ref="C42:E42"/>
    <mergeCell ref="C45:E45"/>
    <mergeCell ref="C32:J32"/>
    <mergeCell ref="A44:B44"/>
    <mergeCell ref="A40:B40"/>
    <mergeCell ref="A39:B39"/>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B2:F48"/>
  <sheetViews>
    <sheetView workbookViewId="0">
      <selection activeCell="H22" sqref="H22"/>
    </sheetView>
  </sheetViews>
  <sheetFormatPr baseColWidth="8" defaultRowHeight="15"/>
  <cols>
    <col width="21.85546875" customWidth="1" min="2" max="2"/>
    <col width="35.85546875" customWidth="1" min="3" max="3"/>
    <col width="6.28515625" customWidth="1" min="4" max="4"/>
    <col width="8" customWidth="1" min="5" max="5"/>
    <col width="32.140625" customWidth="1" min="6" max="6"/>
  </cols>
  <sheetData>
    <row r="1" ht="30.75" customHeight="1" thickBot="1"/>
    <row r="2" ht="21" customHeight="1">
      <c r="B2" s="243" t="inlineStr">
        <is>
          <t xml:space="preserve"> Siding Estimate Checklist </t>
        </is>
      </c>
      <c r="C2" s="225" t="n"/>
      <c r="D2" s="225" t="n"/>
      <c r="E2" s="225" t="n"/>
      <c r="F2" s="226" t="n"/>
    </row>
    <row r="3">
      <c r="B3" s="176" t="n"/>
      <c r="C3" s="174" t="n"/>
      <c r="D3" s="174" t="n"/>
      <c r="E3" s="174" t="inlineStr">
        <is>
          <t>GC:</t>
        </is>
      </c>
      <c r="F3" s="175">
        <f>Sheet1!B8</f>
        <v/>
      </c>
    </row>
    <row r="4">
      <c r="B4" s="176" t="inlineStr">
        <is>
          <t>Project Name:</t>
        </is>
      </c>
      <c r="C4" s="184">
        <f>Sheet1!F9</f>
        <v/>
      </c>
      <c r="D4" s="205" t="n"/>
      <c r="E4" s="205" t="n"/>
      <c r="F4" s="244" t="n"/>
    </row>
    <row r="5">
      <c r="B5" s="176" t="inlineStr">
        <is>
          <t>Estimator Name:</t>
        </is>
      </c>
      <c r="C5" s="186" t="n"/>
      <c r="D5" s="201" t="n"/>
      <c r="E5" s="201" t="n"/>
      <c r="F5" s="240" t="n"/>
    </row>
    <row r="6">
      <c r="B6" s="176" t="inlineStr">
        <is>
          <t>Date-</t>
        </is>
      </c>
      <c r="C6" s="245" t="n"/>
      <c r="D6" s="201" t="n"/>
      <c r="E6" s="201" t="n"/>
      <c r="F6" s="240" t="n"/>
    </row>
    <row r="7">
      <c r="B7" s="176" t="n"/>
      <c r="C7" s="174" t="n"/>
      <c r="D7" s="174" t="n"/>
      <c r="E7" s="174" t="n"/>
      <c r="F7" s="175" t="n"/>
    </row>
    <row r="8">
      <c r="B8" s="106" t="inlineStr">
        <is>
          <t>Plan Review</t>
        </is>
      </c>
      <c r="C8" s="174" t="n"/>
      <c r="D8" s="174" t="n"/>
      <c r="E8" s="174" t="n"/>
      <c r="F8" s="175" t="n"/>
    </row>
    <row r="9">
      <c r="B9" s="176" t="n"/>
      <c r="C9" s="174" t="inlineStr">
        <is>
          <t>All elevations reviewed</t>
        </is>
      </c>
      <c r="D9" s="174" t="n"/>
      <c r="E9" t="inlineStr">
        <is>
          <t>Colors:</t>
        </is>
      </c>
      <c r="F9" s="108" t="n"/>
    </row>
    <row r="10">
      <c r="B10" s="176" t="n"/>
      <c r="C10" s="174" t="inlineStr">
        <is>
          <t>Wall types identified</t>
        </is>
      </c>
      <c r="D10" s="174" t="n"/>
      <c r="E10" s="174" t="n"/>
      <c r="F10" s="109" t="n"/>
    </row>
    <row r="11">
      <c r="B11" s="176" t="n"/>
      <c r="C11" s="174" t="inlineStr">
        <is>
          <t>Material transitions noted</t>
        </is>
      </c>
      <c r="D11" s="174" t="n"/>
      <c r="E11" s="174" t="n"/>
      <c r="F11" s="109" t="n"/>
    </row>
    <row r="12">
      <c r="B12" s="176" t="n"/>
      <c r="C12" s="174" t="inlineStr">
        <is>
          <t>Soffits / fascias reviewed</t>
        </is>
      </c>
      <c r="D12" s="174" t="n"/>
      <c r="E12" s="174" t="n"/>
      <c r="F12" s="109" t="n"/>
    </row>
    <row r="13">
      <c r="B13" s="176" t="n"/>
      <c r="C13" s="174" t="inlineStr">
        <is>
          <t>Details referenced</t>
        </is>
      </c>
      <c r="D13" s="174" t="n"/>
      <c r="E13" s="174" t="n"/>
      <c r="F13" s="109" t="n"/>
    </row>
    <row r="14">
      <c r="B14" s="176" t="n"/>
      <c r="C14" s="174" t="n"/>
      <c r="D14" s="174" t="n"/>
      <c r="E14" s="174" t="n"/>
      <c r="F14" s="109" t="n"/>
    </row>
    <row r="15">
      <c r="B15" s="106" t="inlineStr">
        <is>
          <t>Spec Review (Division 07)</t>
        </is>
      </c>
      <c r="C15" s="174" t="n"/>
      <c r="D15" s="174" t="n"/>
      <c r="E15" s="174" t="n"/>
      <c r="F15" s="175" t="n"/>
    </row>
    <row r="16">
      <c r="B16" s="176" t="n"/>
      <c r="C16" s="174" t="inlineStr">
        <is>
          <t>Cladding system reviewed</t>
        </is>
      </c>
      <c r="D16" s="174" t="n"/>
      <c r="E16" s="110" t="n"/>
      <c r="F16" s="175" t="n"/>
    </row>
    <row r="17">
      <c r="B17" s="176" t="n"/>
      <c r="C17" s="174" t="inlineStr">
        <is>
          <t>WRB / air barrier reviewed</t>
        </is>
      </c>
      <c r="D17" s="174" t="n"/>
      <c r="E17" s="188" t="inlineStr">
        <is>
          <t>Building 
Height:</t>
        </is>
      </c>
      <c r="F17" s="108" t="n"/>
    </row>
    <row r="18">
      <c r="B18" s="176" t="n"/>
      <c r="C18" s="174" t="inlineStr">
        <is>
          <t>Insulation reviewed</t>
        </is>
      </c>
      <c r="D18" s="174" t="n"/>
      <c r="F18" s="175" t="n"/>
    </row>
    <row r="19">
      <c r="B19" s="176" t="n"/>
      <c r="C19" s="174" t="inlineStr">
        <is>
          <t>Fastening requirements noted</t>
        </is>
      </c>
      <c r="D19" s="174" t="n"/>
      <c r="F19" s="175" t="n"/>
    </row>
    <row r="20">
      <c r="B20" s="176" t="n"/>
      <c r="C20" s="174" t="n"/>
      <c r="D20" s="174" t="n"/>
      <c r="E20" s="174" t="n"/>
      <c r="F20" s="175" t="n"/>
    </row>
    <row r="21">
      <c r="B21" s="106" t="inlineStr">
        <is>
          <t>Critical Scope Items</t>
        </is>
      </c>
      <c r="C21" s="174" t="n"/>
      <c r="D21" s="174" t="n"/>
      <c r="E21" s="174" t="n"/>
      <c r="F21" s="175" t="n"/>
    </row>
    <row r="22">
      <c r="B22" s="176" t="n"/>
      <c r="C22" s="174" t="inlineStr">
        <is>
          <t>Flashing</t>
        </is>
      </c>
      <c r="D22" s="174" t="n"/>
      <c r="E22" s="174" t="n"/>
      <c r="F22" s="175" t="n"/>
    </row>
    <row r="23">
      <c r="B23" s="176" t="n"/>
      <c r="C23" s="174" t="inlineStr">
        <is>
          <t>Corner trims</t>
        </is>
      </c>
      <c r="D23" s="174" t="n"/>
      <c r="E23" s="174" t="n"/>
      <c r="F23" s="175" t="n"/>
    </row>
    <row r="24">
      <c r="B24" s="176" t="n"/>
      <c r="C24" s="174" t="inlineStr">
        <is>
          <t>Expansion joints</t>
        </is>
      </c>
      <c r="D24" s="174" t="n"/>
      <c r="E24" s="174" t="n"/>
      <c r="F24" s="175" t="n"/>
    </row>
    <row r="25">
      <c r="B25" s="176" t="n"/>
      <c r="C25" s="174" t="inlineStr">
        <is>
          <t>Sub-framing</t>
        </is>
      </c>
      <c r="D25" s="174" t="n"/>
      <c r="E25" s="174" t="n"/>
      <c r="F25" s="175" t="n"/>
    </row>
    <row r="26">
      <c r="B26" s="176" t="n"/>
      <c r="C26" s="174" t="inlineStr">
        <is>
          <t>WRB responsibility</t>
        </is>
      </c>
      <c r="D26" s="174" t="n"/>
      <c r="E26" s="174" t="n"/>
      <c r="F26" s="175" t="n"/>
    </row>
    <row r="27">
      <c r="B27" s="176" t="n"/>
      <c r="C27" s="174" t="inlineStr">
        <is>
          <t>Continuous insulation</t>
        </is>
      </c>
      <c r="D27" s="174" t="n"/>
      <c r="E27" s="174" t="n"/>
      <c r="F27" s="175" t="n"/>
    </row>
    <row r="28">
      <c r="B28" s="176" t="n"/>
      <c r="C28" s="174" t="inlineStr">
        <is>
          <t>Sealants</t>
        </is>
      </c>
      <c r="D28" s="174" t="n"/>
      <c r="E28" s="174" t="n"/>
      <c r="F28" s="175" t="n"/>
    </row>
    <row r="29">
      <c r="B29" s="176" t="n"/>
      <c r="C29" s="174" t="inlineStr">
        <is>
          <t>Fire blocking</t>
        </is>
      </c>
      <c r="D29" s="174" t="n"/>
      <c r="E29" s="174" t="n"/>
      <c r="F29" s="175" t="n"/>
    </row>
    <row r="30">
      <c r="B30" s="176" t="n"/>
      <c r="C30" s="174" t="inlineStr">
        <is>
          <t>Parapet conditions</t>
        </is>
      </c>
      <c r="D30" s="174" t="n"/>
      <c r="E30" s="174" t="n"/>
      <c r="F30" s="175" t="n"/>
    </row>
    <row r="31">
      <c r="B31" s="176" t="n"/>
      <c r="C31" s="174" t="inlineStr">
        <is>
          <t>Transitions</t>
        </is>
      </c>
      <c r="D31" s="174" t="n"/>
      <c r="E31" s="174" t="n"/>
      <c r="F31" s="175" t="n"/>
    </row>
    <row r="32">
      <c r="B32" s="176" t="n"/>
      <c r="C32" s="174" t="n"/>
      <c r="D32" s="174" t="n"/>
      <c r="E32" s="174" t="n"/>
      <c r="F32" s="175" t="n"/>
    </row>
    <row r="33">
      <c r="B33" s="106" t="inlineStr">
        <is>
          <t>Access &amp; Logistics</t>
        </is>
      </c>
      <c r="C33" s="174" t="n"/>
      <c r="D33" s="174" t="n"/>
      <c r="E33" s="174" t="n"/>
      <c r="F33" s="175" t="n"/>
    </row>
    <row r="34">
      <c r="B34" s="176" t="n"/>
      <c r="C34" s="174" t="inlineStr">
        <is>
          <t>Scaffolding / lifts identified</t>
        </is>
      </c>
      <c r="D34" s="174" t="n"/>
      <c r="E34" s="174" t="n"/>
      <c r="F34" s="175" t="n"/>
    </row>
    <row r="35">
      <c r="B35" s="176" t="n"/>
      <c r="C35" s="174" t="inlineStr">
        <is>
          <t>Height impacts considered</t>
        </is>
      </c>
      <c r="D35" s="174" t="n"/>
      <c r="E35" s="174" t="n"/>
      <c r="F35" s="175" t="n"/>
    </row>
    <row r="36">
      <c r="B36" s="176" t="n"/>
      <c r="C36" s="174" t="inlineStr">
        <is>
          <t>Site constraints reviewed</t>
        </is>
      </c>
      <c r="D36" s="174" t="n"/>
      <c r="E36" s="174" t="n"/>
      <c r="F36" s="175" t="n"/>
    </row>
    <row r="37">
      <c r="B37" s="176" t="n"/>
      <c r="C37" s="174" t="inlineStr">
        <is>
          <t>Phasing requirements</t>
        </is>
      </c>
      <c r="D37" s="174" t="n"/>
      <c r="E37" s="174" t="n"/>
      <c r="F37" s="175" t="n"/>
    </row>
    <row r="38">
      <c r="B38" s="176" t="n"/>
      <c r="C38" s="174" t="n"/>
      <c r="D38" s="174" t="n"/>
      <c r="E38" s="174" t="n"/>
      <c r="F38" s="175" t="n"/>
    </row>
    <row r="39">
      <c r="B39" s="176" t="n"/>
      <c r="C39" s="174" t="n"/>
      <c r="D39" s="174" t="n"/>
      <c r="E39" s="174" t="n"/>
      <c r="F39" s="175" t="n"/>
    </row>
    <row r="40">
      <c r="B40" s="106" t="inlineStr">
        <is>
          <t>Exclusions &amp; Assumptions</t>
        </is>
      </c>
      <c r="C40" s="174" t="n"/>
      <c r="D40" s="174" t="n"/>
      <c r="E40" s="174" t="n"/>
      <c r="F40" s="175" t="n"/>
    </row>
    <row r="41">
      <c r="B41" s="173" t="n"/>
      <c r="C41" s="215" t="n"/>
      <c r="D41" s="215" t="n"/>
      <c r="E41" s="215" t="n"/>
      <c r="F41" s="216" t="n"/>
    </row>
    <row r="42">
      <c r="B42" s="246" t="n"/>
      <c r="F42" s="218" t="n"/>
    </row>
    <row r="43">
      <c r="B43" s="247" t="n"/>
      <c r="C43" s="205" t="n"/>
      <c r="D43" s="205" t="n"/>
      <c r="E43" s="205" t="n"/>
      <c r="F43" s="206" t="n"/>
    </row>
    <row r="44">
      <c r="B44" s="176" t="n"/>
      <c r="C44" s="174" t="n"/>
      <c r="D44" s="174" t="n"/>
      <c r="E44" s="174" t="n"/>
      <c r="F44" s="175" t="n"/>
    </row>
    <row r="45">
      <c r="B45" s="106" t="inlineStr">
        <is>
          <t>Scope Summary</t>
        </is>
      </c>
      <c r="C45" s="174" t="n"/>
      <c r="D45" s="174" t="n"/>
      <c r="E45" s="174" t="n"/>
      <c r="F45" s="175" t="n"/>
    </row>
    <row r="46">
      <c r="B46" s="173" t="n"/>
      <c r="C46" s="215" t="n"/>
      <c r="D46" s="215" t="n"/>
      <c r="E46" s="215" t="n"/>
      <c r="F46" s="216" t="n"/>
    </row>
    <row r="47">
      <c r="B47" s="246" t="n"/>
      <c r="F47" s="218" t="n"/>
    </row>
    <row r="48" ht="15.75" customHeight="1" thickBot="1">
      <c r="B48" s="247" t="n"/>
      <c r="C48" s="205" t="n"/>
      <c r="D48" s="205" t="n"/>
      <c r="E48" s="205" t="n"/>
      <c r="F48" s="206" t="n"/>
    </row>
  </sheetData>
  <mergeCells count="7">
    <mergeCell ref="E17:E19"/>
    <mergeCell ref="B2:F2"/>
    <mergeCell ref="C4:F4"/>
    <mergeCell ref="B46:F48"/>
    <mergeCell ref="C6:F6"/>
    <mergeCell ref="B41:F43"/>
    <mergeCell ref="C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dc:creator>
  <dcterms:created xsi:type="dcterms:W3CDTF">2013-02-18T21:50:36Z</dcterms:created>
  <dcterms:modified xsi:type="dcterms:W3CDTF">2026-07-20T12:56:33Z</dcterms:modified>
  <cp:lastModifiedBy>Boston Roofing</cp:lastModifiedBy>
  <cp:lastPrinted>2026-07-01T14:29:05Z</cp:lastPrinted>
</cp:coreProperties>
</file>